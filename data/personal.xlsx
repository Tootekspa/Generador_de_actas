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tooltek.sharepoint.com/sites/RecursosHumanos/Shared Documents/RRHH/Trabajadores Vigentes/"/>
    </mc:Choice>
  </mc:AlternateContent>
  <xr:revisionPtr revIDLastSave="0" documentId="8_{4A9DCCE9-2AA8-4CE7-BD42-11E443EC21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leados" sheetId="1" r:id="rId1"/>
    <sheet name="Hoja1" sheetId="2" r:id="rId2"/>
    <sheet name="Hoja3" sheetId="5" r:id="rId3"/>
    <sheet name="Hoja2" sheetId="3" r:id="rId4"/>
  </sheets>
  <definedNames>
    <definedName name="_xlnm._FilterDatabase" localSheetId="0" hidden="1">Empleados!$A$1:$CL$53</definedName>
  </definedNames>
  <calcPr calcId="191028"/>
  <pivotCaches>
    <pivotCache cacheId="26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53" i="1"/>
  <c r="B51" i="1"/>
  <c r="B52" i="1"/>
  <c r="B50" i="1"/>
  <c r="B47" i="1"/>
  <c r="B48" i="1"/>
  <c r="B49" i="1"/>
  <c r="B43" i="1"/>
  <c r="B44" i="1"/>
  <c r="B45" i="1"/>
  <c r="B46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</calcChain>
</file>

<file path=xl/sharedStrings.xml><?xml version="1.0" encoding="utf-8"?>
<sst xmlns="http://schemas.openxmlformats.org/spreadsheetml/2006/main" count="2793" uniqueCount="795">
  <si>
    <t>RUT</t>
  </si>
  <si>
    <t>Nombre Completo</t>
  </si>
  <si>
    <t>Nombre</t>
  </si>
  <si>
    <t>Apellido Paterno</t>
  </si>
  <si>
    <t>Apellido Materno</t>
  </si>
  <si>
    <t>Razón Social</t>
  </si>
  <si>
    <t>Fecha nacimiento</t>
  </si>
  <si>
    <t>Nacionalidad</t>
  </si>
  <si>
    <t>Sexo</t>
  </si>
  <si>
    <t>Estado Civíl</t>
  </si>
  <si>
    <t>Profesión</t>
  </si>
  <si>
    <t>Cargo</t>
  </si>
  <si>
    <t>Código Centro Costo 1</t>
  </si>
  <si>
    <t>Nombre Centro Costo 1</t>
  </si>
  <si>
    <t>Código Centro Costo 2</t>
  </si>
  <si>
    <t>Nombre Centro Costo 2</t>
  </si>
  <si>
    <t>Fecha de Ingreso</t>
  </si>
  <si>
    <t>Fecha suscripción contratación</t>
  </si>
  <si>
    <t>Antigüedad</t>
  </si>
  <si>
    <t>Tiene imagen</t>
  </si>
  <si>
    <t>Sueldo Base</t>
  </si>
  <si>
    <t>Colación</t>
  </si>
  <si>
    <t>Movilización</t>
  </si>
  <si>
    <t>AFP</t>
  </si>
  <si>
    <t>% Descuento Adicional AFP</t>
  </si>
  <si>
    <t>Isapre</t>
  </si>
  <si>
    <t>Tipo de Poliza MCC</t>
  </si>
  <si>
    <t>N° de Poliza MCC</t>
  </si>
  <si>
    <t>Monto Pactado MCC</t>
  </si>
  <si>
    <t>Región</t>
  </si>
  <si>
    <t>Ciudad</t>
  </si>
  <si>
    <t>Comuna</t>
  </si>
  <si>
    <t>Calle</t>
  </si>
  <si>
    <t>Número</t>
  </si>
  <si>
    <t>Departamento</t>
  </si>
  <si>
    <t>Celular</t>
  </si>
  <si>
    <t>Otro Teléfono</t>
  </si>
  <si>
    <t>Email</t>
  </si>
  <si>
    <t>Email Personal</t>
  </si>
  <si>
    <t>Nombre de Usuario</t>
  </si>
  <si>
    <t>Moneda Isapre</t>
  </si>
  <si>
    <t>Monto Pactado Isapre</t>
  </si>
  <si>
    <t>Forma de Pago</t>
  </si>
  <si>
    <t>Sueldo - Tipo de Cuenta</t>
  </si>
  <si>
    <t>Tipo de Pago</t>
  </si>
  <si>
    <t>Sueldo - Banco</t>
  </si>
  <si>
    <t>Sueldo - Cuenta Corriente</t>
  </si>
  <si>
    <t>¿es pensionado?</t>
  </si>
  <si>
    <t>Discapacidades</t>
  </si>
  <si>
    <t>Detalle de discapacidad</t>
  </si>
  <si>
    <t>INE</t>
  </si>
  <si>
    <t>Contrato hasta</t>
  </si>
  <si>
    <t>Tipo de Contrato</t>
  </si>
  <si>
    <t>Tipo Servicio</t>
  </si>
  <si>
    <t>Motivo de Egreso</t>
  </si>
  <si>
    <t>Descripción motivo de egreso</t>
  </si>
  <si>
    <t>Tramo de Asignación Familiar</t>
  </si>
  <si>
    <t>Gerencia 1</t>
  </si>
  <si>
    <t>Gerencia 2</t>
  </si>
  <si>
    <t>Anticipo Pactado</t>
  </si>
  <si>
    <t xml:space="preserve"> % Trabajo Pesado</t>
  </si>
  <si>
    <t>Jornada</t>
  </si>
  <si>
    <t>Sistema de distribución</t>
  </si>
  <si>
    <t>Días de la Jornada</t>
  </si>
  <si>
    <t>Horas de la Jornada</t>
  </si>
  <si>
    <t>Sucursal</t>
  </si>
  <si>
    <t>Sindicato</t>
  </si>
  <si>
    <t>Jefe</t>
  </si>
  <si>
    <t>Rut Jefe</t>
  </si>
  <si>
    <t>Rol Privado</t>
  </si>
  <si>
    <t>Vigente</t>
  </si>
  <si>
    <t>Enrolado Firma Digital</t>
  </si>
  <si>
    <t>¿La contratación implica cambio de domicilio del trabajador?</t>
  </si>
  <si>
    <t>Región de origen</t>
  </si>
  <si>
    <t>Comuna de origen</t>
  </si>
  <si>
    <t>Lugar prestación de servicios</t>
  </si>
  <si>
    <t>RUT empresa usuaria</t>
  </si>
  <si>
    <t>RUT empresa principal</t>
  </si>
  <si>
    <t>Remuneraciones y asignaciones</t>
  </si>
  <si>
    <t>Discapacidad</t>
  </si>
  <si>
    <t>Fecha notificación discapacidad</t>
  </si>
  <si>
    <t>Fecha notificación invalidez</t>
  </si>
  <si>
    <t>Horarios y turnos</t>
  </si>
  <si>
    <t>Detalle distribución</t>
  </si>
  <si>
    <t>Distribución de días</t>
  </si>
  <si>
    <t>N° de resolución</t>
  </si>
  <si>
    <t>Fecha de resolución</t>
  </si>
  <si>
    <t>Otras estipulaciones</t>
  </si>
  <si>
    <t>Gratificación Mensual</t>
  </si>
  <si>
    <t>Gratificacion Mensual Tope</t>
  </si>
  <si>
    <t>20048228-K</t>
  </si>
  <si>
    <t>Adip Isrrael</t>
  </si>
  <si>
    <t>Gallegos</t>
  </si>
  <si>
    <t>Apablaza</t>
  </si>
  <si>
    <t>Tooltek SPA.</t>
  </si>
  <si>
    <t>Chilena</t>
  </si>
  <si>
    <t>M</t>
  </si>
  <si>
    <t>Soltero</t>
  </si>
  <si>
    <t>Conductor y Asistente de Bodega y Despacho</t>
  </si>
  <si>
    <t>1</t>
  </si>
  <si>
    <t>Gerencia General</t>
  </si>
  <si>
    <t>1.1</t>
  </si>
  <si>
    <t>Gerencia de Operaciones</t>
  </si>
  <si>
    <t>06-01-2025</t>
  </si>
  <si>
    <t xml:space="preserve"> 1 Años 3 Meses 5 Días</t>
  </si>
  <si>
    <t>No</t>
  </si>
  <si>
    <t>$ 735.206</t>
  </si>
  <si>
    <t>$ 0</t>
  </si>
  <si>
    <t>$ 50.000</t>
  </si>
  <si>
    <t>Modelo</t>
  </si>
  <si>
    <t>Fonasa</t>
  </si>
  <si>
    <t>Sin Información</t>
  </si>
  <si>
    <t>Metropolitana</t>
  </si>
  <si>
    <t>Santiago</t>
  </si>
  <si>
    <t>Maipú</t>
  </si>
  <si>
    <t>Hermanos Carrera 4431</t>
  </si>
  <si>
    <t>+56944116449</t>
  </si>
  <si>
    <t>adipgallegos.17@gmail.com</t>
  </si>
  <si>
    <t>20048228-k</t>
  </si>
  <si>
    <t>%</t>
  </si>
  <si>
    <t>Transferencia</t>
  </si>
  <si>
    <t>Cuenta Vista</t>
  </si>
  <si>
    <t>mensual</t>
  </si>
  <si>
    <t>BANCOESTADO</t>
  </si>
  <si>
    <t>20048228</t>
  </si>
  <si>
    <t>N</t>
  </si>
  <si>
    <t>ninguna</t>
  </si>
  <si>
    <t>Indefinido</t>
  </si>
  <si>
    <t xml:space="preserve">$ </t>
  </si>
  <si>
    <t>Lunes a Viernes</t>
  </si>
  <si>
    <t>Jornada semanal ordinaria</t>
  </si>
  <si>
    <t>Casa Matriz</t>
  </si>
  <si>
    <t>Roberto Felipe Nicolas Riquelme</t>
  </si>
  <si>
    <t>19223334-8</t>
  </si>
  <si>
    <t>no</t>
  </si>
  <si>
    <t>Si</t>
  </si>
  <si>
    <t>Instalaciones del empleador</t>
  </si>
  <si>
    <t>Lunes, Martes, Miercoles, Jueves, Viernes</t>
  </si>
  <si>
    <t>si</t>
  </si>
  <si>
    <t>17414451-6</t>
  </si>
  <si>
    <t>Adolfo Esteban</t>
  </si>
  <si>
    <t>Vallejos</t>
  </si>
  <si>
    <t>Aguirre</t>
  </si>
  <si>
    <t>Encargado(a) de Marketing</t>
  </si>
  <si>
    <t>1.3</t>
  </si>
  <si>
    <t>Gerencia Comercial</t>
  </si>
  <si>
    <t xml:space="preserve"> 1 Años 28 Días</t>
  </si>
  <si>
    <t>$ 1.283.400</t>
  </si>
  <si>
    <t>Capital</t>
  </si>
  <si>
    <t>Macul</t>
  </si>
  <si>
    <t>Froilán Roa 4820</t>
  </si>
  <si>
    <t>56981919424</t>
  </si>
  <si>
    <t>adolfo.vallejos.89@gmail.com</t>
  </si>
  <si>
    <t>17414451-68</t>
  </si>
  <si>
    <t>BANCO DE CHILE</t>
  </si>
  <si>
    <t>000249122206</t>
  </si>
  <si>
    <t>Erich David Olate</t>
  </si>
  <si>
    <t>14257849-2</t>
  </si>
  <si>
    <t>12872867-8</t>
  </si>
  <si>
    <t>Ana Violeta</t>
  </si>
  <si>
    <t>Reyes</t>
  </si>
  <si>
    <t>Curiñanco</t>
  </si>
  <si>
    <t>F</t>
  </si>
  <si>
    <t>Auxiliar de Aseo</t>
  </si>
  <si>
    <t>1.2</t>
  </si>
  <si>
    <t>Gerencia de Administracion y Finanzas</t>
  </si>
  <si>
    <t>06-02-2025</t>
  </si>
  <si>
    <t xml:space="preserve"> 1 Años 2 Meses 3 Días</t>
  </si>
  <si>
    <t>$ 569.250</t>
  </si>
  <si>
    <t>Habitat</t>
  </si>
  <si>
    <t>Cerrillos</t>
  </si>
  <si>
    <t>Critias 1749</t>
  </si>
  <si>
    <t>+56950498226</t>
  </si>
  <si>
    <t>Ana.violtet1749@gmail.com</t>
  </si>
  <si>
    <t>12872867</t>
  </si>
  <si>
    <t>Jose Alejandro Oyarce</t>
  </si>
  <si>
    <t>16690755-1</t>
  </si>
  <si>
    <t>27935546-6</t>
  </si>
  <si>
    <t>Andres Mauricio</t>
  </si>
  <si>
    <t>Barrera</t>
  </si>
  <si>
    <t>Claro</t>
  </si>
  <si>
    <t>Colombiana</t>
  </si>
  <si>
    <t>Casado</t>
  </si>
  <si>
    <t>Analista de Control de Gestión y Procesos</t>
  </si>
  <si>
    <t>01-05-2025</t>
  </si>
  <si>
    <t xml:space="preserve"> 1 Años 4 Meses 30 Días</t>
  </si>
  <si>
    <t>$ 1.345.500</t>
  </si>
  <si>
    <t>Nueva Mas Vida</t>
  </si>
  <si>
    <t>La Florida</t>
  </si>
  <si>
    <t>Punta Arenas 395</t>
  </si>
  <si>
    <t>Departamento 1310</t>
  </si>
  <si>
    <t>921216561</t>
  </si>
  <si>
    <t>ingenieroandresbarrera@gmail.com</t>
  </si>
  <si>
    <t>UF</t>
  </si>
  <si>
    <t>Cuenta Corriente</t>
  </si>
  <si>
    <t>000166009400</t>
  </si>
  <si>
    <t>22277327-K</t>
  </si>
  <si>
    <t>Angelo Cristofer</t>
  </si>
  <si>
    <t>Vasquez</t>
  </si>
  <si>
    <t>Abarca</t>
  </si>
  <si>
    <t xml:space="preserve"> 10 Meses 11 Días</t>
  </si>
  <si>
    <t>Uno</t>
  </si>
  <si>
    <t>San Ramón</t>
  </si>
  <si>
    <t>Los Claveles</t>
  </si>
  <si>
    <t>8135</t>
  </si>
  <si>
    <t>947354317</t>
  </si>
  <si>
    <t>angelovsq321@gmail.com</t>
  </si>
  <si>
    <t>22277327-k</t>
  </si>
  <si>
    <t>SANTANDER</t>
  </si>
  <si>
    <t>27430058</t>
  </si>
  <si>
    <t>18210011-0</t>
  </si>
  <si>
    <t>Camilo Nicolas</t>
  </si>
  <si>
    <t>Toledo</t>
  </si>
  <si>
    <t>Flores</t>
  </si>
  <si>
    <t>PromoReponedor</t>
  </si>
  <si>
    <t xml:space="preserve"> 1 Meses 4 Días</t>
  </si>
  <si>
    <t>$ 630.000</t>
  </si>
  <si>
    <t>Padre alonso Ovalle 868</t>
  </si>
  <si>
    <t>982933332</t>
  </si>
  <si>
    <t>camilo.tf92@gmail.com</t>
  </si>
  <si>
    <t>18210011-08</t>
  </si>
  <si>
    <t>18210011</t>
  </si>
  <si>
    <t>Plazo Fijo</t>
  </si>
  <si>
    <t>16911172-3</t>
  </si>
  <si>
    <t>Carlos Nicolás</t>
  </si>
  <si>
    <t>Zúñiga</t>
  </si>
  <si>
    <t>Lizana</t>
  </si>
  <si>
    <t>01-09-2025</t>
  </si>
  <si>
    <t xml:space="preserve"> 2 Años 2 Meses 6 Días</t>
  </si>
  <si>
    <t>Oceano Atlantico</t>
  </si>
  <si>
    <t>2277</t>
  </si>
  <si>
    <t>990811241</t>
  </si>
  <si>
    <t>carlos.zuniga@tooltek.cl</t>
  </si>
  <si>
    <t>samunico153@gmail.com</t>
  </si>
  <si>
    <t>BANCO FALABELLA</t>
  </si>
  <si>
    <t>50011716663</t>
  </si>
  <si>
    <t>15608896-K</t>
  </si>
  <si>
    <t>Carolina Andrea</t>
  </si>
  <si>
    <t>Ortiz</t>
  </si>
  <si>
    <t>Secretaria</t>
  </si>
  <si>
    <t xml:space="preserve"> 9 Años 7 Meses 30 Días</t>
  </si>
  <si>
    <t>$ 861.967</t>
  </si>
  <si>
    <t>Banmedica</t>
  </si>
  <si>
    <t>San Joaquín</t>
  </si>
  <si>
    <t>Debussy</t>
  </si>
  <si>
    <t>2944</t>
  </si>
  <si>
    <t>969194508</t>
  </si>
  <si>
    <t>Carolina.ortiz@tooltek.cl</t>
  </si>
  <si>
    <t>caro.ortiz.r@gmail.com</t>
  </si>
  <si>
    <t>003101951208</t>
  </si>
  <si>
    <t>Gunther Peter Viertel</t>
  </si>
  <si>
    <t>16338069-2</t>
  </si>
  <si>
    <t>18928987-1</t>
  </si>
  <si>
    <t>Cesar</t>
  </si>
  <si>
    <t>Soto</t>
  </si>
  <si>
    <t>Pedraza</t>
  </si>
  <si>
    <t xml:space="preserve"> 1 Días</t>
  </si>
  <si>
    <t>Chamiza 1228</t>
  </si>
  <si>
    <t>940207592</t>
  </si>
  <si>
    <t>c.sotopedraza@gmail.com</t>
  </si>
  <si>
    <t>18928987-187</t>
  </si>
  <si>
    <t>18928987</t>
  </si>
  <si>
    <t>9153987-K</t>
  </si>
  <si>
    <t>Christian</t>
  </si>
  <si>
    <t>Zegard</t>
  </si>
  <si>
    <t>Latrach</t>
  </si>
  <si>
    <t>Divorciado</t>
  </si>
  <si>
    <t>Gerente General</t>
  </si>
  <si>
    <t xml:space="preserve"> 6 Días</t>
  </si>
  <si>
    <t>Cruz Blanca</t>
  </si>
  <si>
    <t>Lo Barnechea</t>
  </si>
  <si>
    <t>Robles 12729, depto 407-B</t>
  </si>
  <si>
    <t>96586868</t>
  </si>
  <si>
    <t>czegard@gmail.com</t>
  </si>
  <si>
    <t>9153987-k</t>
  </si>
  <si>
    <t>SCOTIABANK</t>
  </si>
  <si>
    <t>60030872</t>
  </si>
  <si>
    <t>13562678-3</t>
  </si>
  <si>
    <t>Claudio Sebastian</t>
  </si>
  <si>
    <t>Acosta</t>
  </si>
  <si>
    <t>Merino</t>
  </si>
  <si>
    <t>Ejecutivo Comercial de Cuentas Claves</t>
  </si>
  <si>
    <t xml:space="preserve"> 1 Años 1 Meses 4 Días</t>
  </si>
  <si>
    <t>$ 1.000.000</t>
  </si>
  <si>
    <t>Lampa</t>
  </si>
  <si>
    <t>Romaza Norte 422</t>
  </si>
  <si>
    <t>56936843763</t>
  </si>
  <si>
    <t>56990916575</t>
  </si>
  <si>
    <t>claudio.acosta@tooltek.cl</t>
  </si>
  <si>
    <t>claudioacostamerino@gmail.com</t>
  </si>
  <si>
    <t>9017960206</t>
  </si>
  <si>
    <t>Artículo 22</t>
  </si>
  <si>
    <t>18665072-7</t>
  </si>
  <si>
    <t>David Ignacio</t>
  </si>
  <si>
    <t>Muñoz</t>
  </si>
  <si>
    <t>Bruna</t>
  </si>
  <si>
    <t>Asesor Técnico Comercial</t>
  </si>
  <si>
    <t xml:space="preserve"> 2 Años 8 Meses 26 Días</t>
  </si>
  <si>
    <t>$ 539.000</t>
  </si>
  <si>
    <t>Planvital</t>
  </si>
  <si>
    <t>San Bernardo</t>
  </si>
  <si>
    <t>Jorge Alessandri Rodriguez</t>
  </si>
  <si>
    <t>12472</t>
  </si>
  <si>
    <t>403 B</t>
  </si>
  <si>
    <t>939024387</t>
  </si>
  <si>
    <t>David.Munoz@tooltek.cl</t>
  </si>
  <si>
    <t>david.munoz.bruna52@gmail.com</t>
  </si>
  <si>
    <t>8172829505</t>
  </si>
  <si>
    <t>D</t>
  </si>
  <si>
    <t>17803789-7</t>
  </si>
  <si>
    <t>Diego Eduardo</t>
  </si>
  <si>
    <t>Cabrera</t>
  </si>
  <si>
    <t>Eyzaguirre</t>
  </si>
  <si>
    <t>Asistente Administrativo Contable</t>
  </si>
  <si>
    <t>01-02-2025</t>
  </si>
  <si>
    <t xml:space="preserve"> 1 Años 8 Meses 20 Días</t>
  </si>
  <si>
    <t>El Monte</t>
  </si>
  <si>
    <t>Bernardo O'Higgins</t>
  </si>
  <si>
    <t>265</t>
  </si>
  <si>
    <t>953391611</t>
  </si>
  <si>
    <t>diego.cabrera@tooltek.cl</t>
  </si>
  <si>
    <t>d.cabrera.eyz@gmail.com</t>
  </si>
  <si>
    <t>2653048364</t>
  </si>
  <si>
    <t>10763806-7</t>
  </si>
  <si>
    <t>Eduardo Alejandro</t>
  </si>
  <si>
    <t>Lillo</t>
  </si>
  <si>
    <t>Miranda</t>
  </si>
  <si>
    <t>10-03-2026</t>
  </si>
  <si>
    <t xml:space="preserve"> 29 Días</t>
  </si>
  <si>
    <t>del Libertador Gral. Bernardo O'higgins</t>
  </si>
  <si>
    <t>Rancagua</t>
  </si>
  <si>
    <t>Dr. Augusto Figueroa 68, Villa San Joaquín</t>
  </si>
  <si>
    <t>953688144</t>
  </si>
  <si>
    <t>lillo.eduardo@gmail.com</t>
  </si>
  <si>
    <t>000259221319</t>
  </si>
  <si>
    <t>10827215-5</t>
  </si>
  <si>
    <t>Eric David</t>
  </si>
  <si>
    <t>Cisternas</t>
  </si>
  <si>
    <t>Faundez</t>
  </si>
  <si>
    <t>Gerente de Operaciones</t>
  </si>
  <si>
    <t xml:space="preserve"> 3 Años 7 Meses 22 Días</t>
  </si>
  <si>
    <t>$ 3.415.500</t>
  </si>
  <si>
    <t>San José de Maipo</t>
  </si>
  <si>
    <t>Camino Las Lomas El Manzano</t>
  </si>
  <si>
    <t>438</t>
  </si>
  <si>
    <t>15</t>
  </si>
  <si>
    <t>976487641</t>
  </si>
  <si>
    <t>eric.cisternas@tooltek.cl</t>
  </si>
  <si>
    <t>eric.cisternas@gmail.com</t>
  </si>
  <si>
    <t>000985304564</t>
  </si>
  <si>
    <t>Erich David</t>
  </si>
  <si>
    <t>Olate</t>
  </si>
  <si>
    <t>Valdes</t>
  </si>
  <si>
    <t>Gerente Comercial</t>
  </si>
  <si>
    <t xml:space="preserve"> 2 Años 9 Meses 3 Días</t>
  </si>
  <si>
    <t>$ 100.000</t>
  </si>
  <si>
    <t>Valle Huasco Norte</t>
  </si>
  <si>
    <t>497</t>
  </si>
  <si>
    <t>962089050</t>
  </si>
  <si>
    <t>940184850</t>
  </si>
  <si>
    <t>erich.olate@tooltek.cl</t>
  </si>
  <si>
    <t>ericholate@hotmail.com</t>
  </si>
  <si>
    <t>990256713</t>
  </si>
  <si>
    <t>26066981-8</t>
  </si>
  <si>
    <t>Eudo Eduine</t>
  </si>
  <si>
    <t>Parra</t>
  </si>
  <si>
    <t>Larreal</t>
  </si>
  <si>
    <t>Venezolana</t>
  </si>
  <si>
    <t>01-10-2025</t>
  </si>
  <si>
    <t xml:space="preserve"> 6 Meses 6 Días</t>
  </si>
  <si>
    <t>del BioBio</t>
  </si>
  <si>
    <t>Tomé</t>
  </si>
  <si>
    <t>Vicente Palacios 2908</t>
  </si>
  <si>
    <t>56931902806</t>
  </si>
  <si>
    <t>PARRAEUDO81@GMAIL.COM</t>
  </si>
  <si>
    <t>19993442884</t>
  </si>
  <si>
    <t>9</t>
  </si>
  <si>
    <t>11166150-2</t>
  </si>
  <si>
    <t>Eugenia Patricia</t>
  </si>
  <si>
    <t>Tognarelli</t>
  </si>
  <si>
    <t>Espinoza</t>
  </si>
  <si>
    <t>Ejecutivo Back Office</t>
  </si>
  <si>
    <t xml:space="preserve"> 5 Meses 4 Días</t>
  </si>
  <si>
    <t>Lago de como 18785</t>
  </si>
  <si>
    <t>56978923683</t>
  </si>
  <si>
    <t>Kena131967@gmail.com</t>
  </si>
  <si>
    <t>11.166.150-2</t>
  </si>
  <si>
    <t>ITAÚ</t>
  </si>
  <si>
    <t>0229122306</t>
  </si>
  <si>
    <t>16473711-K</t>
  </si>
  <si>
    <t>Francisco Javier</t>
  </si>
  <si>
    <t>Cuevas</t>
  </si>
  <si>
    <t>Conejeros</t>
  </si>
  <si>
    <t>Product Manager</t>
  </si>
  <si>
    <t>30-09-2025</t>
  </si>
  <si>
    <t>$ 1.300.000</t>
  </si>
  <si>
    <t>Consalud</t>
  </si>
  <si>
    <t>Arquitecto Héctor Mardones 5007</t>
  </si>
  <si>
    <t>56992779040</t>
  </si>
  <si>
    <t>fjcuevasc@gmail.com</t>
  </si>
  <si>
    <t>16473711-k0</t>
  </si>
  <si>
    <t>BCI</t>
  </si>
  <si>
    <t>777916473711</t>
  </si>
  <si>
    <t>17375907-K</t>
  </si>
  <si>
    <t>Puga</t>
  </si>
  <si>
    <t>Leviman</t>
  </si>
  <si>
    <t>Contador Auditor</t>
  </si>
  <si>
    <t>Encargado de Administración y Tesorería</t>
  </si>
  <si>
    <t xml:space="preserve"> 2 Años 6 Meses 5 Días</t>
  </si>
  <si>
    <t>Provida</t>
  </si>
  <si>
    <t>Cerro Navia</t>
  </si>
  <si>
    <t>Saigon</t>
  </si>
  <si>
    <t>7453</t>
  </si>
  <si>
    <t>952080620</t>
  </si>
  <si>
    <t>francisco.puga@tooltek.cl</t>
  </si>
  <si>
    <t>fco.puga.leviman@gmail.com</t>
  </si>
  <si>
    <t>UF+$</t>
  </si>
  <si>
    <t>87057640</t>
  </si>
  <si>
    <t>19314218-4</t>
  </si>
  <si>
    <t>Geraldine Marlene</t>
  </si>
  <si>
    <t>Santander</t>
  </si>
  <si>
    <t>Encargada de Facturacion</t>
  </si>
  <si>
    <t xml:space="preserve"> 4 Años 8 Meses 3 Días</t>
  </si>
  <si>
    <t>Anibal Zañartu</t>
  </si>
  <si>
    <t>8016</t>
  </si>
  <si>
    <t>971066669</t>
  </si>
  <si>
    <t>geraldine.santander@tooltek.cl</t>
  </si>
  <si>
    <t>geraldinesantander1996@gmail.com</t>
  </si>
  <si>
    <t>19314218</t>
  </si>
  <si>
    <t>Eric David Cisternas</t>
  </si>
  <si>
    <t>20054097-2</t>
  </si>
  <si>
    <t>Gianfranco Alexander</t>
  </si>
  <si>
    <t>Cordero</t>
  </si>
  <si>
    <t>jacques Costou 910</t>
  </si>
  <si>
    <t>+56990310638</t>
  </si>
  <si>
    <t>gianfranco.flores.cordero@gmail.com</t>
  </si>
  <si>
    <t>000098848185</t>
  </si>
  <si>
    <t>Gunther Peter</t>
  </si>
  <si>
    <t>Viertel</t>
  </si>
  <si>
    <t xml:space="preserve"> 8 Años 1 Meses 6 Días</t>
  </si>
  <si>
    <t>$ 6.500.000</t>
  </si>
  <si>
    <t>Sin AFP</t>
  </si>
  <si>
    <t>982301533</t>
  </si>
  <si>
    <t>Gunther.viertel@tooltek.cl</t>
  </si>
  <si>
    <t>gunther@viertel.cl</t>
  </si>
  <si>
    <t>SECURITY</t>
  </si>
  <si>
    <t>928372022</t>
  </si>
  <si>
    <t>12567161-6</t>
  </si>
  <si>
    <t>Gustavo Cesar Augusto</t>
  </si>
  <si>
    <t>Rojas</t>
  </si>
  <si>
    <t>Hip</t>
  </si>
  <si>
    <t>Analista de Crédito y Cobranza</t>
  </si>
  <si>
    <t>13-01-2026</t>
  </si>
  <si>
    <t xml:space="preserve"> 2 Meses 24 Días</t>
  </si>
  <si>
    <t>$ 975.000</t>
  </si>
  <si>
    <t>Peñalolén</t>
  </si>
  <si>
    <t>Cabo Primero Pedro Flores 4320</t>
  </si>
  <si>
    <t>956459537</t>
  </si>
  <si>
    <t>grojaship@gmail.com</t>
  </si>
  <si>
    <t>12.567.161-6</t>
  </si>
  <si>
    <t>Mercado Pago Emisora</t>
  </si>
  <si>
    <t>1031299467</t>
  </si>
  <si>
    <t>10394635-2</t>
  </si>
  <si>
    <t>Hector Fabian</t>
  </si>
  <si>
    <t>Lizama</t>
  </si>
  <si>
    <t xml:space="preserve"> 2 Años 2 Meses 9 Días</t>
  </si>
  <si>
    <t>La Cisterna</t>
  </si>
  <si>
    <t>Brisas De Maipo</t>
  </si>
  <si>
    <t>130</t>
  </si>
  <si>
    <t>132</t>
  </si>
  <si>
    <t>984519377</t>
  </si>
  <si>
    <t>994993845</t>
  </si>
  <si>
    <t>Hector.Reyes@tooltek.cl</t>
  </si>
  <si>
    <t>hreyeslizama@gmail.com</t>
  </si>
  <si>
    <t>BANCO RIPLEY</t>
  </si>
  <si>
    <t>4015200205</t>
  </si>
  <si>
    <t>12237134-4</t>
  </si>
  <si>
    <t>Hugo Enrique</t>
  </si>
  <si>
    <t>Cornejo</t>
  </si>
  <si>
    <t>01-07-2025</t>
  </si>
  <si>
    <t xml:space="preserve"> 8 Meses 6 Días</t>
  </si>
  <si>
    <t>Purranque 228</t>
  </si>
  <si>
    <t>964396677</t>
  </si>
  <si>
    <t>hugoespinozacornejo@gmail.com</t>
  </si>
  <si>
    <t>12237134</t>
  </si>
  <si>
    <t>26275948-2</t>
  </si>
  <si>
    <t>Jesús</t>
  </si>
  <si>
    <t>Gil</t>
  </si>
  <si>
    <t>Juarez</t>
  </si>
  <si>
    <t>Franklin 200 dpto 713</t>
  </si>
  <si>
    <t>56971603577</t>
  </si>
  <si>
    <t>jegil61@gmail.com</t>
  </si>
  <si>
    <t>978882412</t>
  </si>
  <si>
    <t>21041970-5</t>
  </si>
  <si>
    <t>Joaquin Guillermo</t>
  </si>
  <si>
    <t>Matus</t>
  </si>
  <si>
    <t>Galindo</t>
  </si>
  <si>
    <t xml:space="preserve"> 1 Años 8 Meses 14 Días</t>
  </si>
  <si>
    <t>1382</t>
  </si>
  <si>
    <t>933698510</t>
  </si>
  <si>
    <t>joaquin.matus@tooltek.cl</t>
  </si>
  <si>
    <t>jmatus843@gmail.com</t>
  </si>
  <si>
    <t>00089623448</t>
  </si>
  <si>
    <t>10346511-7</t>
  </si>
  <si>
    <t>Jorge Hernan</t>
  </si>
  <si>
    <t>Vergara</t>
  </si>
  <si>
    <t>Diaz</t>
  </si>
  <si>
    <t>Contador(a)</t>
  </si>
  <si>
    <t>02-01-2025</t>
  </si>
  <si>
    <t>Cuprum</t>
  </si>
  <si>
    <t>Quilicura</t>
  </si>
  <si>
    <t>Fontana Rosa Norte</t>
  </si>
  <si>
    <t>76</t>
  </si>
  <si>
    <t>+56978958237</t>
  </si>
  <si>
    <t>jvergaradi@gmail.com</t>
  </si>
  <si>
    <t>1068591747</t>
  </si>
  <si>
    <t>20708485-9</t>
  </si>
  <si>
    <t>Jorge Luis</t>
  </si>
  <si>
    <t>Washington</t>
  </si>
  <si>
    <t>Cordova</t>
  </si>
  <si>
    <t>Coordinador de Ventas</t>
  </si>
  <si>
    <t xml:space="preserve"> 2 Años 4 Meses 2 Días</t>
  </si>
  <si>
    <t>Pasaje Comas Solas</t>
  </si>
  <si>
    <t>2784</t>
  </si>
  <si>
    <t>977040602</t>
  </si>
  <si>
    <t>Jorge.washinton@tooltek.cl</t>
  </si>
  <si>
    <t>jorgewashington040@gmail.com</t>
  </si>
  <si>
    <t>985612714</t>
  </si>
  <si>
    <t>11752719-0</t>
  </si>
  <si>
    <t>Asistente de Logistica y Despacho</t>
  </si>
  <si>
    <t xml:space="preserve"> 2 Años 5 Meses 15 Días</t>
  </si>
  <si>
    <t>$ 771.966</t>
  </si>
  <si>
    <t>Pasaje Comas Sola</t>
  </si>
  <si>
    <t>971958315</t>
  </si>
  <si>
    <t>jorgeluis.washington@tooltek.cl</t>
  </si>
  <si>
    <t>familiawashingtoncordova@gmail.com</t>
  </si>
  <si>
    <t>Los Andes Tarjetas de Prepago S.A.</t>
  </si>
  <si>
    <t>11752719</t>
  </si>
  <si>
    <t>Jose Alejandro</t>
  </si>
  <si>
    <t>Oyarce</t>
  </si>
  <si>
    <t>Sepulveda</t>
  </si>
  <si>
    <t>Ingeniero Comercial</t>
  </si>
  <si>
    <t>Gerente de Administración y Finanzas</t>
  </si>
  <si>
    <t xml:space="preserve"> 3 Años 3 Meses 17 Días</t>
  </si>
  <si>
    <t>$ 3.622.500</t>
  </si>
  <si>
    <t>Providencia</t>
  </si>
  <si>
    <t>Avenida Suecia</t>
  </si>
  <si>
    <t>2561</t>
  </si>
  <si>
    <t>407</t>
  </si>
  <si>
    <t>997484050</t>
  </si>
  <si>
    <t>jose.oyarce@tooltek.cl</t>
  </si>
  <si>
    <t>jose.oyarce.sepulveda@gmail.com</t>
  </si>
  <si>
    <t>86387227</t>
  </si>
  <si>
    <t>11486652-0</t>
  </si>
  <si>
    <t>Jose Antonio</t>
  </si>
  <si>
    <t>Traslaviña</t>
  </si>
  <si>
    <t>Pinto</t>
  </si>
  <si>
    <t xml:space="preserve"> 1 Meses 5 Días</t>
  </si>
  <si>
    <t>Huechuraba</t>
  </si>
  <si>
    <t>Av Guanaco norte 1521</t>
  </si>
  <si>
    <t>965013526</t>
  </si>
  <si>
    <t>jtraslavinapinto@gmail.com</t>
  </si>
  <si>
    <t>11486652-03</t>
  </si>
  <si>
    <t>67515681</t>
  </si>
  <si>
    <t>20961375-1</t>
  </si>
  <si>
    <t>Justyn Aaron</t>
  </si>
  <si>
    <t>Seguel</t>
  </si>
  <si>
    <t>Cortes</t>
  </si>
  <si>
    <t xml:space="preserve"> 2 Años 3 Meses 5 Días</t>
  </si>
  <si>
    <t>Nigeria</t>
  </si>
  <si>
    <t>3389</t>
  </si>
  <si>
    <t>956507932</t>
  </si>
  <si>
    <t>justynseguel@gmail.com</t>
  </si>
  <si>
    <t>19991125471</t>
  </si>
  <si>
    <t>12155399-6</t>
  </si>
  <si>
    <t>Leandro Eduardo</t>
  </si>
  <si>
    <t>Navarrete</t>
  </si>
  <si>
    <t>Pizarro</t>
  </si>
  <si>
    <t>Las Tinajas 1206</t>
  </si>
  <si>
    <t>+56995847505</t>
  </si>
  <si>
    <t>leandritoeduardo@gmail.com</t>
  </si>
  <si>
    <t>12.155.399-6</t>
  </si>
  <si>
    <t>12155399</t>
  </si>
  <si>
    <t>18330930-7</t>
  </si>
  <si>
    <t>Leonardo Mauricio Antonio</t>
  </si>
  <si>
    <t>Maldonado</t>
  </si>
  <si>
    <t>Alegria</t>
  </si>
  <si>
    <t>Promovendedor</t>
  </si>
  <si>
    <t xml:space="preserve"> 2 Años 20 Días</t>
  </si>
  <si>
    <t>$ 811.181</t>
  </si>
  <si>
    <t>Quinta Normal</t>
  </si>
  <si>
    <t>Rivas Vicuña</t>
  </si>
  <si>
    <t># 1214</t>
  </si>
  <si>
    <t>Torre Teno 1205</t>
  </si>
  <si>
    <t>979943377</t>
  </si>
  <si>
    <t>990993644</t>
  </si>
  <si>
    <t>leonardo.maldonado@tooltek.cl</t>
  </si>
  <si>
    <t>leonardo.maldonado.1993@gmail.com</t>
  </si>
  <si>
    <t>18330930</t>
  </si>
  <si>
    <t>12191712-2</t>
  </si>
  <si>
    <t>Miguel Angel</t>
  </si>
  <si>
    <t>Duran</t>
  </si>
  <si>
    <t>Sanhueza</t>
  </si>
  <si>
    <t xml:space="preserve"> 9 Años 8 Meses 6 Días</t>
  </si>
  <si>
    <t>$ 700.000</t>
  </si>
  <si>
    <t>de los Lagos</t>
  </si>
  <si>
    <t>Puerto Montt</t>
  </si>
  <si>
    <t>Parcelas Colina Vera</t>
  </si>
  <si>
    <t>40</t>
  </si>
  <si>
    <t>952086212</t>
  </si>
  <si>
    <t>miguel.duran@tooltek.cl</t>
  </si>
  <si>
    <t>miguelangelavara@gmail.com</t>
  </si>
  <si>
    <t>83100008630</t>
  </si>
  <si>
    <t>Parcialmente</t>
  </si>
  <si>
    <t>14369887-4</t>
  </si>
  <si>
    <t>Nicsa Ana</t>
  </si>
  <si>
    <t>Molina</t>
  </si>
  <si>
    <t>Fernandez</t>
  </si>
  <si>
    <t>Asistente de Operaciones</t>
  </si>
  <si>
    <t xml:space="preserve"> 8 Meses 24 Días</t>
  </si>
  <si>
    <t>$ 820.000</t>
  </si>
  <si>
    <t>German Garces  2946</t>
  </si>
  <si>
    <t>946185588</t>
  </si>
  <si>
    <t>nicsa.molina@gmail.com</t>
  </si>
  <si>
    <t>66869563</t>
  </si>
  <si>
    <t>12168317-2</t>
  </si>
  <si>
    <t>Pablo César</t>
  </si>
  <si>
    <t>Castañeda</t>
  </si>
  <si>
    <t>Fuentes</t>
  </si>
  <si>
    <t xml:space="preserve"> 1 Años 3 Meses 26 Días</t>
  </si>
  <si>
    <t>Las Gaviotas</t>
  </si>
  <si>
    <t>812</t>
  </si>
  <si>
    <t>+56937314943</t>
  </si>
  <si>
    <t>pablo.castaneda@tooltek.cl</t>
  </si>
  <si>
    <t>pablocastanedaimp@gmail.com</t>
  </si>
  <si>
    <t>19842688956</t>
  </si>
  <si>
    <t>13261307-9</t>
  </si>
  <si>
    <t>Patricio Antonio</t>
  </si>
  <si>
    <t>Uribe</t>
  </si>
  <si>
    <t xml:space="preserve"> 1 Años 8 Meses 6 Días</t>
  </si>
  <si>
    <t>Renca</t>
  </si>
  <si>
    <t>José Santiago Aldunate</t>
  </si>
  <si>
    <t>3298</t>
  </si>
  <si>
    <t>944087721</t>
  </si>
  <si>
    <t>957666249</t>
  </si>
  <si>
    <t>patricio.uribe@tooltek.cl</t>
  </si>
  <si>
    <t>patricio.uribe.valdes@hotmail.com</t>
  </si>
  <si>
    <t>13261307</t>
  </si>
  <si>
    <t>11336041-0</t>
  </si>
  <si>
    <t>Patricio Lenin</t>
  </si>
  <si>
    <t>Gonzalez</t>
  </si>
  <si>
    <t>Araya</t>
  </si>
  <si>
    <t>Puente Alto</t>
  </si>
  <si>
    <t>pasaje pisahue viejo 0855</t>
  </si>
  <si>
    <t>958168109</t>
  </si>
  <si>
    <t>990916809</t>
  </si>
  <si>
    <t>patricio.gonzalez@tooltek.cl</t>
  </si>
  <si>
    <t>patriciogonzalez.araya@gmail.com</t>
  </si>
  <si>
    <t>11.336.041-0</t>
  </si>
  <si>
    <t>63362236</t>
  </si>
  <si>
    <t>17040593-5</t>
  </si>
  <si>
    <t>Ricardo Ignacio</t>
  </si>
  <si>
    <t>Bravo</t>
  </si>
  <si>
    <t>Tapia</t>
  </si>
  <si>
    <t>05-11-2025</t>
  </si>
  <si>
    <t>del Maule</t>
  </si>
  <si>
    <t>Talca</t>
  </si>
  <si>
    <t>Maule</t>
  </si>
  <si>
    <t>Camino publico los patos 1945</t>
  </si>
  <si>
    <t>56997144519</t>
  </si>
  <si>
    <t>ignaciotapia01@gmail.com</t>
  </si>
  <si>
    <t>007064816300</t>
  </si>
  <si>
    <t>25647191-4</t>
  </si>
  <si>
    <t>Ricardo Jose</t>
  </si>
  <si>
    <t>Navarro</t>
  </si>
  <si>
    <t>Almarza</t>
  </si>
  <si>
    <t>Valparaiso</t>
  </si>
  <si>
    <t>Quilpué</t>
  </si>
  <si>
    <t>Alto Maquehue</t>
  </si>
  <si>
    <t>3194</t>
  </si>
  <si>
    <t>304</t>
  </si>
  <si>
    <t>948739620</t>
  </si>
  <si>
    <t>990916756</t>
  </si>
  <si>
    <t>Ricardo.Navarro@tooltek.cl</t>
  </si>
  <si>
    <t>Ricardo.Navarro.Almarza@Gmail.com</t>
  </si>
  <si>
    <t>000098733639</t>
  </si>
  <si>
    <t>9906311-4</t>
  </si>
  <si>
    <t>Ricardo Juan</t>
  </si>
  <si>
    <t>Thompson</t>
  </si>
  <si>
    <t>Ferrada</t>
  </si>
  <si>
    <t>Coquimbo</t>
  </si>
  <si>
    <t>La Serena</t>
  </si>
  <si>
    <t>Pasaje Pacarina 1722</t>
  </si>
  <si>
    <t>56977368374</t>
  </si>
  <si>
    <t>ricardo.thompson.f@gmail.com</t>
  </si>
  <si>
    <t>53710025702</t>
  </si>
  <si>
    <t>9400539-6</t>
  </si>
  <si>
    <t>Roberto Antonio</t>
  </si>
  <si>
    <t>Riquelme</t>
  </si>
  <si>
    <t>Arce</t>
  </si>
  <si>
    <t xml:space="preserve"> 4 Años 7 Meses 15 Días</t>
  </si>
  <si>
    <t>976625218</t>
  </si>
  <si>
    <t>Roberto.riquelme.arce@tooltek.cl</t>
  </si>
  <si>
    <t>robertoriquelmearce@hotmail.com</t>
  </si>
  <si>
    <t>79475041</t>
  </si>
  <si>
    <t>C</t>
  </si>
  <si>
    <t>Roberto Felipe Nicolas</t>
  </si>
  <si>
    <t>Jefe de Bodega y Despacho</t>
  </si>
  <si>
    <t xml:space="preserve"> 5 Años 4 Meses 19 Días</t>
  </si>
  <si>
    <t>$ 1.056.331</t>
  </si>
  <si>
    <t>966299944</t>
  </si>
  <si>
    <t>roberto.riquelme@tooltek.cl</t>
  </si>
  <si>
    <t>robertoriquelmereyes@gmail.com</t>
  </si>
  <si>
    <t>79141798</t>
  </si>
  <si>
    <t>18052771-0</t>
  </si>
  <si>
    <t>Rodrigo Adrián</t>
  </si>
  <si>
    <t>Munita</t>
  </si>
  <si>
    <t xml:space="preserve"> 9 Meses 29 Días</t>
  </si>
  <si>
    <t>Lago Maihue 4528</t>
  </si>
  <si>
    <t>988441351</t>
  </si>
  <si>
    <t>rmunitaf@gmail.com</t>
  </si>
  <si>
    <t>18052771</t>
  </si>
  <si>
    <t>9095560-8</t>
  </si>
  <si>
    <t>Sandra Doris</t>
  </si>
  <si>
    <t>Peschka</t>
  </si>
  <si>
    <t xml:space="preserve"> 9 Años 1 Meses 15 Días</t>
  </si>
  <si>
    <t>Colina</t>
  </si>
  <si>
    <t>Av Americo Vespucio</t>
  </si>
  <si>
    <t>2501</t>
  </si>
  <si>
    <t>128</t>
  </si>
  <si>
    <t>981369527</t>
  </si>
  <si>
    <t>sandra.viertel@tooltek.cl</t>
  </si>
  <si>
    <t>Sandra.viertel@tooltek.cl</t>
  </si>
  <si>
    <t>sandra.viertel@gmail.com</t>
  </si>
  <si>
    <t>215360696</t>
  </si>
  <si>
    <t>18666862-6</t>
  </si>
  <si>
    <t>Sebastián Alfonso</t>
  </si>
  <si>
    <t>Faure</t>
  </si>
  <si>
    <t>Solari</t>
  </si>
  <si>
    <t>Las Facultades</t>
  </si>
  <si>
    <t>1720</t>
  </si>
  <si>
    <t>990993614</t>
  </si>
  <si>
    <t>sebastian.faure@tooltek.cl</t>
  </si>
  <si>
    <t>seba.a.faure.s@gmail.com</t>
  </si>
  <si>
    <t>80102615</t>
  </si>
  <si>
    <t>20790096-6</t>
  </si>
  <si>
    <t>Sebastian Ignacio Esteban</t>
  </si>
  <si>
    <t>Encargado de Inventario y Reposicion</t>
  </si>
  <si>
    <t xml:space="preserve"> 5 Años 1 Meses 20 Días</t>
  </si>
  <si>
    <t>982463761</t>
  </si>
  <si>
    <t>sebastian.riquelme@tooltek.cl</t>
  </si>
  <si>
    <t>sebastianriquelmereyes17@gmail.com</t>
  </si>
  <si>
    <t>19995713374</t>
  </si>
  <si>
    <t>14128464-9</t>
  </si>
  <si>
    <t>Solange Del Carmen</t>
  </si>
  <si>
    <t>Lobos</t>
  </si>
  <si>
    <t>De la fuente</t>
  </si>
  <si>
    <t>Litueche</t>
  </si>
  <si>
    <t>0868</t>
  </si>
  <si>
    <t>987184761</t>
  </si>
  <si>
    <t>934587924</t>
  </si>
  <si>
    <t>solange.lobos@tooltek.cl</t>
  </si>
  <si>
    <t>solange.lobos81@gmail.com</t>
  </si>
  <si>
    <t>19821292620</t>
  </si>
  <si>
    <t>15689934-8</t>
  </si>
  <si>
    <t>Teresa Leonor</t>
  </si>
  <si>
    <t>Arredondo</t>
  </si>
  <si>
    <t>Plaza</t>
  </si>
  <si>
    <t xml:space="preserve"> 2 Años 11 Meses 5 Días</t>
  </si>
  <si>
    <t>Colmena</t>
  </si>
  <si>
    <t>Antofagasta</t>
  </si>
  <si>
    <t>Talcahuano</t>
  </si>
  <si>
    <t>3237</t>
  </si>
  <si>
    <t>984318256</t>
  </si>
  <si>
    <t>teresa.Arredondo@tooltek.cl</t>
  </si>
  <si>
    <t>zn.teresa.arredondo@gmail.com</t>
  </si>
  <si>
    <t>78371676</t>
  </si>
  <si>
    <t>14171520-8</t>
  </si>
  <si>
    <t>Viviana Lucia De Lourdes</t>
  </si>
  <si>
    <t>Trejo</t>
  </si>
  <si>
    <t xml:space="preserve"> 4 Meses 17 Días</t>
  </si>
  <si>
    <t>Avenida Lo espejo 0375</t>
  </si>
  <si>
    <t>56971324433</t>
  </si>
  <si>
    <t>vlrojastvlrojast@gmail.com</t>
  </si>
  <si>
    <t>14.171.520-8</t>
  </si>
  <si>
    <t>062192855484</t>
  </si>
  <si>
    <t>Etiquetas de fila</t>
  </si>
  <si>
    <t>Cuenta de Nombre Completo</t>
  </si>
  <si>
    <t>(en blanco)</t>
  </si>
  <si>
    <t>Total general</t>
  </si>
  <si>
    <t>Christian Zegard Latrach</t>
  </si>
  <si>
    <t>Jesús Gil Juarez</t>
  </si>
  <si>
    <t>Camilo Nicolas Toledo Flores</t>
  </si>
  <si>
    <t>Eduardo Alejandro Lillo Miranda</t>
  </si>
  <si>
    <t>Jose Antonio Traslaviña Pinto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</si>
</sst>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rancisco Puga" refreshedDate="46114.611833101852" createdVersion="8" refreshedVersion="8" minRefreshableVersion="3" recordCount="53" xr:uid="{32A1292E-8AC6-4700-BCFD-25DF1C8E1A89}">
  <cacheSource type="worksheet">
    <worksheetSource ref="A1:CL1048576" sheet="Empleados"/>
  </cacheSource>
  <cacheFields count="90">
    <cacheField name="RUT" numFmtId="0">
      <sharedItems containsBlank="1"/>
    </cacheField>
    <cacheField name="Nombre Completo" numFmtId="0">
      <sharedItems containsBlank="1"/>
    </cacheField>
    <cacheField name="Nombre" numFmtId="0">
      <sharedItems containsBlank="1"/>
    </cacheField>
    <cacheField name="Apellido Paterno" numFmtId="0">
      <sharedItems containsBlank="1"/>
    </cacheField>
    <cacheField name="Apellido Materno" numFmtId="0">
      <sharedItems containsBlank="1"/>
    </cacheField>
    <cacheField name="Razón Social" numFmtId="0">
      <sharedItems containsBlank="1"/>
    </cacheField>
    <cacheField name="Fecha nacimiento" numFmtId="0">
      <sharedItems containsNonDate="0" containsDate="1" containsString="0" containsBlank="1" minDate="1962-11-06T00:00:00" maxDate="2006-12-09T00:00:00"/>
    </cacheField>
    <cacheField name="Nacionalidad" numFmtId="0">
      <sharedItems containsBlank="1"/>
    </cacheField>
    <cacheField name="Sexo" numFmtId="0">
      <sharedItems containsBlank="1"/>
    </cacheField>
    <cacheField name="Estado Civíl" numFmtId="0">
      <sharedItems containsBlank="1"/>
    </cacheField>
    <cacheField name="Profesión" numFmtId="0">
      <sharedItems containsBlank="1"/>
    </cacheField>
    <cacheField name="Cargo" numFmtId="0">
      <sharedItems containsBlank="1" count="28">
        <s v="Conductor y Asistente de Bodega y Despacho"/>
        <s v="Encargado(a) de Marketing"/>
        <s v="Auxiliar de Aseo"/>
        <s v="Analista de Control de Gestión y Procesos"/>
        <s v="PromoReponedor"/>
        <s v="Secretaria"/>
        <s v="Gerente General"/>
        <s v="Ejecutivo Comercial de Cuentas Claves"/>
        <s v="Asesor Técnico Comercial"/>
        <s v="Asistente Administrativo Contable"/>
        <s v="Gerente de Operaciones"/>
        <s v="Gerente Comercial"/>
        <s v="Ejecutivo Back Office"/>
        <s v="Product Manager"/>
        <s v="Encargado de Administración y Tesorería"/>
        <s v="Encargada de Facturacion"/>
        <s v="Analista de Crédito y Cobranza"/>
        <s v="Contador(a)"/>
        <s v="Asistente de Logistica y Despacho"/>
        <s v="Coordinador de Ventas"/>
        <s v="Gerente de Administración y Finanzas"/>
        <s v="Promovendedor"/>
        <s v="Asistente de Operaciones"/>
        <s v="Jefe de Bodega y Despacho"/>
        <s v="Encargado de Inventario y Reposicion"/>
        <m/>
        <s v="Apoyo Temporal de Bodega" u="1"/>
        <s v="Encargado de Servicio Tecnico y Capacitacion" u="1"/>
      </sharedItems>
    </cacheField>
    <cacheField name="Código Centro Costo 1" numFmtId="0">
      <sharedItems containsBlank="1"/>
    </cacheField>
    <cacheField name="Nombre Centro Costo 1" numFmtId="0">
      <sharedItems containsBlank="1"/>
    </cacheField>
    <cacheField name="Código Centro Costo 2" numFmtId="0">
      <sharedItems containsBlank="1"/>
    </cacheField>
    <cacheField name="Nombre Centro Costo 2" numFmtId="0">
      <sharedItems containsBlank="1"/>
    </cacheField>
    <cacheField name="Fecha de Ingreso" numFmtId="0">
      <sharedItems containsNonDate="0" containsDate="1" containsString="0" containsBlank="1" minDate="2016-08-01T00:00:00" maxDate="2026-04-02T00:00:00"/>
    </cacheField>
    <cacheField name="Fecha suscripción contratación" numFmtId="0">
      <sharedItems containsBlank="1"/>
    </cacheField>
    <cacheField name="Antigüedad" numFmtId="0">
      <sharedItems containsBlank="1"/>
    </cacheField>
    <cacheField name="Tiene imagen" numFmtId="0">
      <sharedItems containsBlank="1"/>
    </cacheField>
    <cacheField name="Sueldo Base" numFmtId="0">
      <sharedItems containsBlank="1"/>
    </cacheField>
    <cacheField name="Colación" numFmtId="0">
      <sharedItems containsBlank="1"/>
    </cacheField>
    <cacheField name="Movilización" numFmtId="0">
      <sharedItems containsBlank="1"/>
    </cacheField>
    <cacheField name="AFP" numFmtId="0">
      <sharedItems containsBlank="1"/>
    </cacheField>
    <cacheField name="% Descuento Adicional AFP" numFmtId="0">
      <sharedItems containsNonDate="0" containsString="0" containsBlank="1"/>
    </cacheField>
    <cacheField name="Isapre" numFmtId="0">
      <sharedItems containsBlank="1"/>
    </cacheField>
    <cacheField name="Tipo de Poliza MCC" numFmtId="0">
      <sharedItems containsBlank="1"/>
    </cacheField>
    <cacheField name="N° de Poliza MCC" numFmtId="0">
      <sharedItems containsNonDate="0" containsString="0" containsBlank="1"/>
    </cacheField>
    <cacheField name="Monto Pactado MCC" numFmtId="0">
      <sharedItems containsNonDate="0" containsString="0" containsBlank="1"/>
    </cacheField>
    <cacheField name="Región" numFmtId="0">
      <sharedItems containsBlank="1"/>
    </cacheField>
    <cacheField name="Ciudad" numFmtId="0">
      <sharedItems containsBlank="1"/>
    </cacheField>
    <cacheField name="Comuna" numFmtId="0">
      <sharedItems containsBlank="1"/>
    </cacheField>
    <cacheField name="Calle" numFmtId="0">
      <sharedItems containsBlank="1"/>
    </cacheField>
    <cacheField name="Número" numFmtId="0">
      <sharedItems containsBlank="1"/>
    </cacheField>
    <cacheField name="Departamento" numFmtId="0">
      <sharedItems containsBlank="1"/>
    </cacheField>
    <cacheField name="Celular" numFmtId="0">
      <sharedItems containsBlank="1"/>
    </cacheField>
    <cacheField name="Otro Teléfono" numFmtId="0">
      <sharedItems containsBlank="1"/>
    </cacheField>
    <cacheField name="Email" numFmtId="0">
      <sharedItems containsBlank="1"/>
    </cacheField>
    <cacheField name="Email Personal" numFmtId="0">
      <sharedItems containsBlank="1"/>
    </cacheField>
    <cacheField name="Nombre de Usuario" numFmtId="0">
      <sharedItems containsBlank="1"/>
    </cacheField>
    <cacheField name="Moneda Isapre" numFmtId="0">
      <sharedItems containsBlank="1"/>
    </cacheField>
    <cacheField name="Monto Pactado Isapre" numFmtId="0">
      <sharedItems containsString="0" containsBlank="1" containsNumber="1" minValue="7.0000000000000007E-2" maxValue="14.304"/>
    </cacheField>
    <cacheField name="Forma de Pago" numFmtId="0">
      <sharedItems containsBlank="1"/>
    </cacheField>
    <cacheField name="Sueldo - Tipo de Cuenta" numFmtId="0">
      <sharedItems containsBlank="1"/>
    </cacheField>
    <cacheField name="Tipo de Pago" numFmtId="0">
      <sharedItems containsBlank="1"/>
    </cacheField>
    <cacheField name="Sueldo - Banco" numFmtId="0">
      <sharedItems containsBlank="1"/>
    </cacheField>
    <cacheField name="Sueldo - Cuenta Corriente" numFmtId="0">
      <sharedItems containsBlank="1"/>
    </cacheField>
    <cacheField name="¿es pensionado?" numFmtId="0">
      <sharedItems containsBlank="1"/>
    </cacheField>
    <cacheField name="Discapacidades" numFmtId="0">
      <sharedItems containsBlank="1"/>
    </cacheField>
    <cacheField name="Detalle de discapacidad" numFmtId="0">
      <sharedItems containsNonDate="0" containsString="0" containsBlank="1"/>
    </cacheField>
    <cacheField name="INE" numFmtId="0">
      <sharedItems containsNonDate="0" containsString="0" containsBlank="1"/>
    </cacheField>
    <cacheField name="Contrato hasta" numFmtId="0">
      <sharedItems containsNonDate="0" containsDate="1" containsString="0" containsBlank="1" minDate="2026-04-30T00:00:00" maxDate="2026-07-01T00:00:00"/>
    </cacheField>
    <cacheField name="Tipo de Contrato" numFmtId="0">
      <sharedItems containsBlank="1"/>
    </cacheField>
    <cacheField name="Tipo Servicio" numFmtId="0">
      <sharedItems containsBlank="1"/>
    </cacheField>
    <cacheField name="Motivo de Egreso" numFmtId="0">
      <sharedItems containsNonDate="0" containsString="0" containsBlank="1"/>
    </cacheField>
    <cacheField name="Descripción motivo de egreso" numFmtId="0">
      <sharedItems containsNonDate="0" containsString="0" containsBlank="1"/>
    </cacheField>
    <cacheField name="Tramo de Asignación Familiar" numFmtId="0">
      <sharedItems containsBlank="1"/>
    </cacheField>
    <cacheField name="Gerencia 1" numFmtId="0">
      <sharedItems containsBlank="1"/>
    </cacheField>
    <cacheField name="Gerencia 2" numFmtId="0">
      <sharedItems containsBlank="1" count="4">
        <s v="Gerencia de Operaciones"/>
        <s v="Gerencia Comercial"/>
        <s v="Gerencia de Administracion y Finanzas"/>
        <m/>
      </sharedItems>
    </cacheField>
    <cacheField name="Anticipo Pactado" numFmtId="0">
      <sharedItems containsBlank="1"/>
    </cacheField>
    <cacheField name=" % Trabajo Pesado" numFmtId="0">
      <sharedItems containsNonDate="0" containsString="0" containsBlank="1"/>
    </cacheField>
    <cacheField name="Jornada" numFmtId="0">
      <sharedItems containsBlank="1"/>
    </cacheField>
    <cacheField name="Sistema de distribución" numFmtId="0">
      <sharedItems containsBlank="1"/>
    </cacheField>
    <cacheField name="Días de la Jornada" numFmtId="0">
      <sharedItems containsString="0" containsBlank="1" containsNumber="1" containsInteger="1" minValue="5" maxValue="5"/>
    </cacheField>
    <cacheField name="Horas de la Jornada" numFmtId="0">
      <sharedItems containsString="0" containsBlank="1" containsNumber="1" containsInteger="1" minValue="42" maxValue="44"/>
    </cacheField>
    <cacheField name="Sucursal" numFmtId="0">
      <sharedItems containsBlank="1"/>
    </cacheField>
    <cacheField name="Sindicato" numFmtId="0">
      <sharedItems containsNonDate="0" containsString="0" containsBlank="1"/>
    </cacheField>
    <cacheField name="Jefe" numFmtId="0">
      <sharedItems containsBlank="1"/>
    </cacheField>
    <cacheField name="Rut Jefe" numFmtId="0">
      <sharedItems containsBlank="1"/>
    </cacheField>
    <cacheField name="Rol Privado" numFmtId="0">
      <sharedItems containsBlank="1"/>
    </cacheField>
    <cacheField name="Vigente" numFmtId="0">
      <sharedItems containsBlank="1"/>
    </cacheField>
    <cacheField name="Enrolado Firma Digital" numFmtId="0">
      <sharedItems containsBlank="1"/>
    </cacheField>
    <cacheField name="¿La contratación implica cambio de domicilio del trabajador?" numFmtId="0">
      <sharedItems containsNonDate="0" containsString="0" containsBlank="1"/>
    </cacheField>
    <cacheField name="Región de origen" numFmtId="0">
      <sharedItems containsNonDate="0" containsString="0" containsBlank="1"/>
    </cacheField>
    <cacheField name="Comuna de origen" numFmtId="0">
      <sharedItems containsNonDate="0" containsString="0" containsBlank="1"/>
    </cacheField>
    <cacheField name="Lugar prestación de servicios" numFmtId="0">
      <sharedItems containsBlank="1"/>
    </cacheField>
    <cacheField name="RUT empresa usuaria" numFmtId="0">
      <sharedItems containsNonDate="0" containsString="0" containsBlank="1"/>
    </cacheField>
    <cacheField name="RUT empresa principal" numFmtId="0">
      <sharedItems containsNonDate="0" containsString="0" containsBlank="1"/>
    </cacheField>
    <cacheField name="Remuneraciones y asignaciones" numFmtId="0">
      <sharedItems containsNonDate="0" containsString="0" containsBlank="1"/>
    </cacheField>
    <cacheField name="Discapacidad" numFmtId="0">
      <sharedItems containsNonDate="0" containsString="0" containsBlank="1"/>
    </cacheField>
    <cacheField name="Fecha notificación discapacidad" numFmtId="0">
      <sharedItems containsNonDate="0" containsString="0" containsBlank="1"/>
    </cacheField>
    <cacheField name="Fecha notificación invalidez" numFmtId="0">
      <sharedItems containsNonDate="0" containsString="0" containsBlank="1"/>
    </cacheField>
    <cacheField name="Horarios y turnos" numFmtId="0">
      <sharedItems containsNonDate="0" containsString="0" containsBlank="1"/>
    </cacheField>
    <cacheField name="Detalle distribución" numFmtId="0">
      <sharedItems containsNonDate="0" containsString="0" containsBlank="1"/>
    </cacheField>
    <cacheField name="Distribución de días" numFmtId="0">
      <sharedItems containsBlank="1"/>
    </cacheField>
    <cacheField name="N° de resolución" numFmtId="0">
      <sharedItems containsNonDate="0" containsString="0" containsBlank="1"/>
    </cacheField>
    <cacheField name="Fecha de resolución" numFmtId="0">
      <sharedItems containsNonDate="0" containsString="0" containsBlank="1"/>
    </cacheField>
    <cacheField name="Otras estipulaciones" numFmtId="0">
      <sharedItems containsNonDate="0" containsString="0" containsBlank="1"/>
    </cacheField>
    <cacheField name="Gratificación Mensual" numFmtId="0">
      <sharedItems containsNonDate="0" containsString="0" containsBlank="1"/>
    </cacheField>
    <cacheField name="Gratificacion Mensual Top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">
  <r>
    <s v="20048228-K"/>
    <s v="Adip Isrrael Gallegos Apablaza"/>
    <s v="Adip Isrrael"/>
    <s v="Gallegos"/>
    <s v="Apablaza"/>
    <s v="Tooltek SPA."/>
    <d v="1999-01-18T00:00:00"/>
    <s v="Chilena"/>
    <s v="M"/>
    <s v="Soltero"/>
    <m/>
    <x v="0"/>
    <s v="1"/>
    <s v="Gerencia General"/>
    <s v="1.1"/>
    <s v="Gerencia de Operaciones"/>
    <d v="2025-01-02T00:00:00"/>
    <s v="06-01-2025"/>
    <s v=" 1 Años 3 Meses 1 Días"/>
    <s v="No"/>
    <s v="$ 735.206"/>
    <s v="$ 0"/>
    <s v="$ 50.000"/>
    <s v="Modelo"/>
    <m/>
    <s v="Fonasa"/>
    <s v="Sin Información"/>
    <m/>
    <m/>
    <s v="Metropolitana"/>
    <s v="Santiago"/>
    <s v="Maipú"/>
    <s v="Hermanos Carrera 4431"/>
    <m/>
    <m/>
    <s v="+56944116449"/>
    <m/>
    <m/>
    <s v="adipgallegos.17@gmail.com"/>
    <s v="20048228-k"/>
    <s v="%"/>
    <n v="7.0000000000000007E-2"/>
    <s v="Transferencia"/>
    <s v="Cuenta Vista"/>
    <s v="mensual"/>
    <s v="BANCOESTADO"/>
    <s v="20048228"/>
    <s v="N"/>
    <s v="ninguna"/>
    <m/>
    <m/>
    <m/>
    <s v="Indefinido"/>
    <m/>
    <m/>
    <m/>
    <m/>
    <s v="Gerencia General"/>
    <x v="0"/>
    <s v="$ "/>
    <m/>
    <s v="Lunes a Viernes"/>
    <s v="Jornada semanal ordinaria"/>
    <n v="5"/>
    <n v="44"/>
    <s v="Casa Matriz"/>
    <m/>
    <s v="Roberto Felipe Nicolas Riquelme"/>
    <s v="19223334-8"/>
    <s v="no"/>
    <s v="Si"/>
    <s v="Si"/>
    <m/>
    <m/>
    <m/>
    <s v="Instalaciones del empleador"/>
    <m/>
    <m/>
    <m/>
    <m/>
    <m/>
    <m/>
    <m/>
    <m/>
    <s v="Lunes, Martes, Miercoles, Jueves, Viernes"/>
    <m/>
    <m/>
    <m/>
    <m/>
    <s v="si"/>
  </r>
  <r>
    <s v="17414451-6"/>
    <s v="Adolfo Esteban Vallejos Aguirre"/>
    <s v="Adolfo Esteban"/>
    <s v="Vallejos"/>
    <s v="Aguirre"/>
    <s v="Tooltek SPA."/>
    <d v="1989-11-20T00:00:00"/>
    <s v="Chilena"/>
    <s v="M"/>
    <s v="Soltero"/>
    <m/>
    <x v="1"/>
    <s v="1"/>
    <s v="Gerencia General"/>
    <s v="1.3"/>
    <s v="Gerencia Comercial"/>
    <d v="2025-03-10T00:00:00"/>
    <m/>
    <s v=" 1 Años 24 Días"/>
    <s v="No"/>
    <s v="$ 1.283.400"/>
    <s v="$ 0"/>
    <s v="$ 0"/>
    <s v="Capital"/>
    <m/>
    <s v="Fonasa"/>
    <s v="Sin Información"/>
    <m/>
    <m/>
    <s v="Metropolitana"/>
    <s v="Santiago"/>
    <s v="Macul"/>
    <s v="Froilán Roa 4820"/>
    <m/>
    <m/>
    <s v="56981919424"/>
    <m/>
    <m/>
    <s v="adolfo.vallejos.89@gmail.com"/>
    <s v="17414451-68"/>
    <s v="%"/>
    <n v="7.0000000000000007E-2"/>
    <s v="Transferencia"/>
    <s v="Cuenta Vista"/>
    <s v="mensual"/>
    <s v="BANCO DE CHILE"/>
    <s v="000249122206"/>
    <s v="N"/>
    <s v="ninguna"/>
    <m/>
    <m/>
    <m/>
    <s v="Indefinido"/>
    <m/>
    <m/>
    <m/>
    <m/>
    <s v="Gerencia General"/>
    <x v="1"/>
    <s v="$ "/>
    <m/>
    <s v="Lunes a Viernes"/>
    <s v="Jornada semanal ordinaria"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s v="Lunes, Martes, Miercoles, Jueves, Viernes"/>
    <m/>
    <m/>
    <m/>
    <m/>
    <m/>
  </r>
  <r>
    <s v="12872867-8"/>
    <s v="Ana Violeta Reyes Curiñanco"/>
    <s v="Ana Violeta"/>
    <s v="Reyes"/>
    <s v="Curiñanco"/>
    <s v="Tooltek SPA."/>
    <d v="1975-08-29T00:00:00"/>
    <s v="Chilena"/>
    <s v="F"/>
    <s v="Soltero"/>
    <m/>
    <x v="2"/>
    <s v="1"/>
    <s v="Gerencia General"/>
    <s v="1.2"/>
    <s v="Gerencia de Administracion y Finanzas"/>
    <d v="2025-02-04T00:00:00"/>
    <s v="06-02-2025"/>
    <s v=" 1 Años 1 Meses 27 Días"/>
    <s v="No"/>
    <s v="$ 569.250"/>
    <s v="$ 0"/>
    <s v="$ 50.000"/>
    <s v="Habitat"/>
    <m/>
    <s v="Fonasa"/>
    <s v="Sin Información"/>
    <m/>
    <m/>
    <s v="Metropolitana"/>
    <s v="Santiago"/>
    <s v="Cerrillos"/>
    <s v="Critias 1749"/>
    <m/>
    <m/>
    <s v="+56950498226"/>
    <m/>
    <m/>
    <s v="Ana.violtet1749@gmail.com"/>
    <s v="12872867-8"/>
    <s v="%"/>
    <n v="7.0000000000000007E-2"/>
    <s v="Transferencia"/>
    <s v="Cuenta Vista"/>
    <s v="mensual"/>
    <s v="BANCOESTADO"/>
    <s v="12872867"/>
    <s v="N"/>
    <s v="ninguna"/>
    <m/>
    <m/>
    <m/>
    <s v="Indefinido"/>
    <m/>
    <m/>
    <m/>
    <m/>
    <s v="Gerencia General"/>
    <x v="2"/>
    <s v="$ "/>
    <m/>
    <s v="Lunes a Viernes"/>
    <s v="Jornada semanal ordinaria"/>
    <n v="5"/>
    <n v="44"/>
    <s v="Casa Matriz"/>
    <m/>
    <s v="Jose Alejandro Oyarce"/>
    <s v="16690755-1"/>
    <s v="no"/>
    <s v="Si"/>
    <s v="Si"/>
    <m/>
    <m/>
    <m/>
    <s v="Instalaciones del empleador"/>
    <m/>
    <m/>
    <m/>
    <m/>
    <m/>
    <m/>
    <m/>
    <m/>
    <m/>
    <m/>
    <m/>
    <m/>
    <m/>
    <m/>
  </r>
  <r>
    <s v="27935546-6"/>
    <s v="Andres Mauricio Barrera Claro"/>
    <s v="Andres Mauricio"/>
    <s v="Barrera"/>
    <s v="Claro"/>
    <s v="Tooltek SPA."/>
    <d v="1994-11-19T00:00:00"/>
    <s v="Colombiana"/>
    <s v="M"/>
    <s v="Casado"/>
    <m/>
    <x v="3"/>
    <s v="1"/>
    <s v="Gerencia General"/>
    <s v="1.2"/>
    <s v="Gerencia de Administracion y Finanzas"/>
    <d v="2024-11-07T00:00:00"/>
    <s v="01-05-2025"/>
    <s v=" 1 Años 4 Meses 26 Días"/>
    <s v="No"/>
    <s v="$ 1.345.500"/>
    <s v="$ 0"/>
    <s v="$ 50.000"/>
    <s v="Modelo"/>
    <m/>
    <s v="Nueva Mas Vida"/>
    <s v="Sin Información"/>
    <m/>
    <m/>
    <s v="Metropolitana"/>
    <s v="Santiago"/>
    <s v="La Florida"/>
    <s v="Punta Arenas 395"/>
    <s v="Departamento 1310"/>
    <m/>
    <s v="921216561"/>
    <m/>
    <m/>
    <s v="ingenieroandresbarrera@gmail.com"/>
    <s v="27935546-6"/>
    <s v="UF"/>
    <n v="3.5539999999999998"/>
    <s v="Transferencia"/>
    <s v="Cuenta Corriente"/>
    <s v="mensual"/>
    <s v="BANCO DE CHILE"/>
    <s v="000166009400"/>
    <s v="N"/>
    <s v="ninguna"/>
    <m/>
    <m/>
    <m/>
    <s v="Indefinido"/>
    <m/>
    <m/>
    <m/>
    <m/>
    <s v="Gerencia General"/>
    <x v="2"/>
    <s v="$ "/>
    <m/>
    <s v="Lunes a Viernes"/>
    <m/>
    <n v="5"/>
    <n v="44"/>
    <s v="Casa Matriz"/>
    <m/>
    <s v="Jose Alejandro Oyarce"/>
    <s v="16690755-1"/>
    <s v="no"/>
    <s v="Si"/>
    <s v="Si"/>
    <m/>
    <m/>
    <m/>
    <m/>
    <m/>
    <m/>
    <m/>
    <m/>
    <m/>
    <m/>
    <m/>
    <m/>
    <m/>
    <m/>
    <m/>
    <m/>
    <m/>
    <s v="si"/>
  </r>
  <r>
    <s v="22277327-K"/>
    <s v="Angelo Cristofer Vasquez Abarca"/>
    <s v="Angelo Cristofer"/>
    <s v="Vasquez"/>
    <s v="Abarca"/>
    <s v="Tooltek SPA."/>
    <d v="2006-12-08T00:00:00"/>
    <s v="Chilena"/>
    <s v="M"/>
    <s v="Soltero"/>
    <m/>
    <x v="0"/>
    <s v="1"/>
    <s v="Gerencia General"/>
    <s v="1.1"/>
    <s v="Gerencia de Operaciones"/>
    <d v="2025-05-27T00:00:00"/>
    <m/>
    <s v=" 10 Meses 7 Días"/>
    <s v="No"/>
    <s v="$ 735.206"/>
    <s v="$ 0"/>
    <s v="$ 50.000"/>
    <s v="Uno"/>
    <m/>
    <s v="Fonasa"/>
    <s v="Sin Información"/>
    <m/>
    <m/>
    <s v="Metropolitana"/>
    <s v="Santiago"/>
    <s v="San Ramón"/>
    <s v="Los Claveles"/>
    <s v="8135"/>
    <m/>
    <s v="947354317"/>
    <m/>
    <m/>
    <s v="angelovsq321@gmail.com"/>
    <s v="22277327-k"/>
    <s v="%"/>
    <n v="7.0000000000000007E-2"/>
    <s v="Transferencia"/>
    <s v="Cuenta Corriente"/>
    <s v="mensual"/>
    <s v="SANTANDER"/>
    <s v="27430058"/>
    <s v="N"/>
    <s v="ninguna"/>
    <m/>
    <m/>
    <m/>
    <s v="Indefinido"/>
    <m/>
    <m/>
    <m/>
    <m/>
    <s v="Gerencia General"/>
    <x v="0"/>
    <s v="$ "/>
    <m/>
    <s v="Lunes a Viernes"/>
    <m/>
    <n v="5"/>
    <n v="44"/>
    <s v="Casa Matriz"/>
    <m/>
    <s v="Roberto Felipe Nicolas Riquelme"/>
    <s v="19223334-8"/>
    <s v="no"/>
    <s v="Si"/>
    <s v="Si"/>
    <m/>
    <m/>
    <m/>
    <s v="Instalaciones del empleador"/>
    <m/>
    <m/>
    <m/>
    <m/>
    <m/>
    <m/>
    <m/>
    <m/>
    <s v="Lunes, Martes, Miercoles, Jueves, Viernes"/>
    <m/>
    <m/>
    <m/>
    <m/>
    <s v="si"/>
  </r>
  <r>
    <s v="18210011-0"/>
    <s v="Camilo Nicolas Toledo Flores"/>
    <s v="Camilo Nicolas"/>
    <s v="Toledo"/>
    <s v="Flores"/>
    <s v="Tooltek SPA."/>
    <d v="1992-03-31T00:00:00"/>
    <s v="Chilena"/>
    <s v="M"/>
    <s v="Soltero"/>
    <m/>
    <x v="4"/>
    <s v="1"/>
    <s v="Gerencia General"/>
    <s v="1.3"/>
    <s v="Gerencia Comercial"/>
    <d v="2026-03-03T00:00:00"/>
    <m/>
    <s v=" 31 Días"/>
    <s v="No"/>
    <s v="$ 630.000"/>
    <s v="$ 0"/>
    <s v="$ 0"/>
    <s v="Modelo"/>
    <m/>
    <s v="Fonasa"/>
    <s v="Sin Información"/>
    <m/>
    <m/>
    <s v="Metropolitana"/>
    <s v="Santiago"/>
    <s v="Santiago"/>
    <s v="Padre alonso Ovalle 868"/>
    <m/>
    <m/>
    <s v="982933332"/>
    <m/>
    <m/>
    <s v="camilo.tf92@gmail.com"/>
    <s v="18210011-08"/>
    <s v="%"/>
    <n v="7.0000000000000007E-2"/>
    <s v="Transferencia"/>
    <s v="Cuenta Vista"/>
    <s v="mensual"/>
    <s v="BANCOESTADO"/>
    <s v="18210011"/>
    <s v="N"/>
    <s v="ninguna"/>
    <m/>
    <m/>
    <d v="2026-05-31T00:00:00"/>
    <s v="Plazo Fijo"/>
    <m/>
    <m/>
    <m/>
    <m/>
    <s v="Gerencia General"/>
    <x v="1"/>
    <s v="$ "/>
    <m/>
    <s v="Lunes a Viernes"/>
    <s v="Jornada semanal ordinaria"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s v="Lunes, Martes, Miercoles, Jueves, Viernes"/>
    <m/>
    <m/>
    <m/>
    <m/>
    <m/>
  </r>
  <r>
    <s v="16911172-3"/>
    <s v="Carlos Nicolás Zúñiga Lizana"/>
    <s v="Carlos Nicolás"/>
    <s v="Zúñiga"/>
    <s v="Lizana"/>
    <s v="Tooltek SPA."/>
    <d v="1988-09-07T00:00:00"/>
    <s v="Chilena"/>
    <s v="M"/>
    <s v="Soltero"/>
    <m/>
    <x v="0"/>
    <s v="1"/>
    <s v="Gerencia General"/>
    <s v="1.1"/>
    <s v="Gerencia de Operaciones"/>
    <d v="2024-02-01T00:00:00"/>
    <s v="01-09-2025"/>
    <s v=" 2 Años 2 Meses 2 Días"/>
    <s v="No"/>
    <s v="$ 735.206"/>
    <s v="$ 0"/>
    <s v="$ 50.000"/>
    <s v="Habitat"/>
    <m/>
    <s v="Fonasa"/>
    <s v="Sin Información"/>
    <m/>
    <m/>
    <s v="Metropolitana"/>
    <s v="Santiago"/>
    <s v="Maipú"/>
    <s v="Oceano Atlantico"/>
    <s v="2277"/>
    <m/>
    <s v="990811241"/>
    <s v="carlos.zuniga@tooltek.cl"/>
    <s v="carlos.zuniga@tooltek.cl"/>
    <s v="samunico153@gmail.com"/>
    <s v="16911172-3"/>
    <s v="%"/>
    <n v="7.0000000000000007E-2"/>
    <s v="Transferencia"/>
    <s v="Cuenta Vista"/>
    <s v="mensual"/>
    <s v="BANCO FALABELLA"/>
    <s v="50011716663"/>
    <s v="N"/>
    <s v="ninguna"/>
    <m/>
    <m/>
    <m/>
    <s v="Indefinido"/>
    <m/>
    <m/>
    <m/>
    <m/>
    <s v="Gerencia General"/>
    <x v="0"/>
    <s v="$ "/>
    <m/>
    <s v="Lunes a Viernes"/>
    <m/>
    <n v="5"/>
    <n v="44"/>
    <s v="Casa Matriz"/>
    <m/>
    <s v="Roberto Felipe Nicolas Riquelme"/>
    <s v="19223334-8"/>
    <s v="no"/>
    <s v="Si"/>
    <s v="Si"/>
    <m/>
    <m/>
    <m/>
    <m/>
    <m/>
    <m/>
    <m/>
    <m/>
    <m/>
    <m/>
    <m/>
    <m/>
    <s v="Lunes, Martes, Miercoles, Jueves, Viernes"/>
    <m/>
    <m/>
    <m/>
    <m/>
    <m/>
  </r>
  <r>
    <s v="15608896-K"/>
    <s v="Carolina Andrea Ortiz Reyes"/>
    <s v="Carolina Andrea"/>
    <s v="Ortiz"/>
    <s v="Reyes"/>
    <s v="Tooltek SPA."/>
    <d v="1984-08-08T00:00:00"/>
    <s v="Chilena"/>
    <s v="F"/>
    <m/>
    <m/>
    <x v="5"/>
    <s v="1"/>
    <s v="Gerencia General"/>
    <m/>
    <m/>
    <d v="2016-08-08T00:00:00"/>
    <m/>
    <s v=" 9 Años 7 Meses 26 Días"/>
    <s v="No"/>
    <s v="$ 861.967"/>
    <s v="$ 0"/>
    <s v="$ 50.000"/>
    <s v="Capital"/>
    <m/>
    <s v="Banmedica"/>
    <s v="Sin Información"/>
    <m/>
    <m/>
    <s v="Metropolitana"/>
    <s v="Santiago"/>
    <s v="San Joaquín"/>
    <s v="Debussy"/>
    <s v="2944"/>
    <m/>
    <s v="969194508"/>
    <m/>
    <s v="Carolina.ortiz@tooltek.cl"/>
    <s v="caro.ortiz.r@gmail.com"/>
    <s v="15608896-K"/>
    <s v="UF"/>
    <n v="3.6640000000000001"/>
    <s v="Transferencia"/>
    <s v="Cuenta Corriente"/>
    <s v="mensual"/>
    <s v="BANCO DE CHILE"/>
    <s v="003101951208"/>
    <s v="N"/>
    <s v="ninguna"/>
    <m/>
    <m/>
    <m/>
    <s v="Indefinido"/>
    <m/>
    <m/>
    <m/>
    <m/>
    <s v="Gerencia General"/>
    <x v="3"/>
    <s v="$ "/>
    <m/>
    <s v="Lunes a Viernes"/>
    <m/>
    <n v="5"/>
    <n v="44"/>
    <s v="Casa Matriz"/>
    <m/>
    <s v="Gunther Peter Viertel"/>
    <s v="16338069-2"/>
    <s v="no"/>
    <s v="Si"/>
    <s v="Si"/>
    <m/>
    <m/>
    <m/>
    <m/>
    <m/>
    <m/>
    <m/>
    <m/>
    <m/>
    <m/>
    <m/>
    <m/>
    <m/>
    <m/>
    <m/>
    <m/>
    <m/>
    <m/>
  </r>
  <r>
    <s v="9153987-K"/>
    <s v="Christian Zegard Latrach"/>
    <s v="Christian"/>
    <s v="Zegard"/>
    <s v="Latrach"/>
    <s v="Tooltek SPA."/>
    <d v="1977-06-18T00:00:00"/>
    <s v="Chilena"/>
    <s v="M"/>
    <s v="Divorciado"/>
    <m/>
    <x v="6"/>
    <s v="1"/>
    <s v="Gerencia General"/>
    <m/>
    <m/>
    <d v="2026-04-01T00:00:00"/>
    <m/>
    <s v=" 2 Días"/>
    <s v="No"/>
    <s v="$ 0"/>
    <s v="$ 0"/>
    <s v="$ 0"/>
    <s v="Habitat"/>
    <m/>
    <s v="Cruz Blanca"/>
    <s v="Sin Información"/>
    <m/>
    <m/>
    <s v="Metropolitana"/>
    <s v="Lo Barnechea"/>
    <s v="Santiago"/>
    <s v="Robles 12729, depto 407-B"/>
    <m/>
    <m/>
    <s v="96586868"/>
    <m/>
    <m/>
    <s v="czegard@gmail.com"/>
    <s v="9153987-k"/>
    <s v="UF"/>
    <m/>
    <s v="Transferencia"/>
    <s v="Cuenta Corriente"/>
    <s v="mensual"/>
    <s v="SCOTIABANK"/>
    <s v="60030872"/>
    <s v="N"/>
    <s v="ninguna"/>
    <m/>
    <m/>
    <m/>
    <m/>
    <m/>
    <m/>
    <m/>
    <m/>
    <s v="Gerencia General"/>
    <x v="3"/>
    <s v="$ "/>
    <m/>
    <s v="Lunes a Viernes"/>
    <s v="Jornada semanal ordinaria"/>
    <m/>
    <n v="42"/>
    <s v="Casa Matriz"/>
    <m/>
    <s v="Gunther Peter Viertel"/>
    <s v="16338069-2"/>
    <s v="no"/>
    <s v="Si"/>
    <s v="No"/>
    <m/>
    <m/>
    <m/>
    <s v="Instalaciones del empleador"/>
    <m/>
    <m/>
    <m/>
    <m/>
    <m/>
    <m/>
    <m/>
    <m/>
    <s v="Lunes, Martes, Miercoles, Jueves, Viernes"/>
    <m/>
    <m/>
    <m/>
    <m/>
    <m/>
  </r>
  <r>
    <s v="13562678-3"/>
    <s v="Claudio Sebastian Acosta Merino"/>
    <s v="Claudio Sebastian"/>
    <s v="Acosta"/>
    <s v="Merino"/>
    <s v="Tooltek SPA."/>
    <d v="1979-02-10T00:00:00"/>
    <s v="Chilena"/>
    <s v="M"/>
    <s v="Casado"/>
    <m/>
    <x v="7"/>
    <s v="1"/>
    <s v="Gerencia General"/>
    <s v="1.3"/>
    <s v="Gerencia Comercial"/>
    <d v="2025-03-03T00:00:00"/>
    <m/>
    <s v=" 1 Años 31 Días"/>
    <s v="No"/>
    <s v="$ 1.000.000"/>
    <s v="$ 0"/>
    <s v="$ 0"/>
    <s v="Capital"/>
    <m/>
    <s v="Fonasa"/>
    <s v="Sin Información"/>
    <m/>
    <m/>
    <s v="Metropolitana"/>
    <s v="Santiago"/>
    <s v="Lampa"/>
    <s v="Romaza Norte 422"/>
    <m/>
    <m/>
    <s v="56936843763"/>
    <s v="56990916575"/>
    <s v="claudio.acosta@tooltek.cl"/>
    <s v="claudioacostamerino@gmail.com"/>
    <s v="13562678-3"/>
    <s v="%"/>
    <n v="7.0000000000000007E-2"/>
    <s v="Transferencia"/>
    <s v="Cuenta Corriente"/>
    <s v="mensual"/>
    <s v="BANCO DE CHILE"/>
    <s v="9017960206"/>
    <s v="N"/>
    <s v="ninguna"/>
    <m/>
    <m/>
    <m/>
    <s v="Indefinido"/>
    <m/>
    <m/>
    <m/>
    <m/>
    <s v="Gerencia General"/>
    <x v="1"/>
    <s v="$ "/>
    <m/>
    <s v="Artículo 22"/>
    <m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m/>
    <m/>
    <m/>
    <m/>
    <m/>
    <m/>
  </r>
  <r>
    <s v="18665072-7"/>
    <s v="David Ignacio Muñoz Bruna"/>
    <s v="David Ignacio"/>
    <s v="Muñoz"/>
    <s v="Bruna"/>
    <s v="Tooltek SPA."/>
    <d v="1994-02-01T00:00:00"/>
    <s v="Chilena"/>
    <s v="M"/>
    <s v="Casado"/>
    <m/>
    <x v="8"/>
    <s v="1"/>
    <s v="Gerencia General"/>
    <s v="1.3"/>
    <s v="Gerencia Comercial"/>
    <d v="2023-07-12T00:00:00"/>
    <m/>
    <s v=" 2 Años 8 Meses 22 Días"/>
    <s v="No"/>
    <s v="$ 539.000"/>
    <s v="$ 0"/>
    <s v="$ 0"/>
    <s v="Planvital"/>
    <m/>
    <s v="Fonasa"/>
    <s v="Sin Información"/>
    <m/>
    <m/>
    <s v="Metropolitana"/>
    <s v="Santiago"/>
    <s v="San Bernardo"/>
    <s v="Jorge Alessandri Rodriguez"/>
    <s v="12472"/>
    <s v="403 B"/>
    <s v="939024387"/>
    <m/>
    <s v="David.Munoz@tooltek.cl"/>
    <s v="david.munoz.bruna52@gmail.com"/>
    <s v="18665072-7"/>
    <s v="%"/>
    <n v="7.0000000000000007E-2"/>
    <s v="Transferencia"/>
    <s v="Cuenta Corriente"/>
    <s v="mensual"/>
    <s v="BANCO DE CHILE"/>
    <s v="8172829505"/>
    <s v="N"/>
    <s v="ninguna"/>
    <m/>
    <m/>
    <m/>
    <s v="Indefinido"/>
    <m/>
    <m/>
    <m/>
    <s v="D"/>
    <s v="Gerencia General"/>
    <x v="1"/>
    <s v="$ "/>
    <m/>
    <s v="Lunes a Viernes"/>
    <m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m/>
    <m/>
    <m/>
    <m/>
    <m/>
    <m/>
  </r>
  <r>
    <s v="17803789-7"/>
    <s v="Diego Eduardo Cabrera Eyzaguirre"/>
    <s v="Diego Eduardo"/>
    <s v="Cabrera"/>
    <s v="Eyzaguirre"/>
    <s v="Tooltek SPA."/>
    <d v="1991-03-10T00:00:00"/>
    <s v="Chilena"/>
    <s v="M"/>
    <s v="Soltero"/>
    <m/>
    <x v="9"/>
    <s v="1"/>
    <s v="Gerencia General"/>
    <s v="1.2"/>
    <s v="Gerencia de Administracion y Finanzas"/>
    <d v="2024-07-18T00:00:00"/>
    <s v="01-02-2025"/>
    <s v=" 1 Años 8 Meses 16 Días"/>
    <s v="Si"/>
    <s v="$ 735.206"/>
    <s v="$ 0"/>
    <s v="$ 50.000"/>
    <s v="Provida"/>
    <m/>
    <s v="Fonasa"/>
    <s v="Sin Información"/>
    <m/>
    <m/>
    <s v="Metropolitana"/>
    <s v="Santiago"/>
    <s v="El Monte"/>
    <s v="Bernardo O'Higgins"/>
    <s v="265"/>
    <m/>
    <s v="953391611"/>
    <m/>
    <s v="diego.cabrera@tooltek.cl"/>
    <s v="d.cabrera.eyz@gmail.com"/>
    <s v="17803789-7"/>
    <s v="%"/>
    <n v="7.0000000000000007E-2"/>
    <s v="Transferencia"/>
    <s v="Cuenta Corriente"/>
    <s v="mensual"/>
    <s v="SCOTIABANK"/>
    <s v="2653048364"/>
    <s v="N"/>
    <s v="ninguna"/>
    <m/>
    <m/>
    <m/>
    <s v="Indefinido"/>
    <m/>
    <m/>
    <m/>
    <m/>
    <s v="Gerencia General"/>
    <x v="2"/>
    <s v="$ "/>
    <m/>
    <s v="Lunes a Viernes"/>
    <m/>
    <n v="5"/>
    <n v="44"/>
    <s v="Casa Matriz"/>
    <m/>
    <s v="Jose Alejandro Oyarce"/>
    <s v="16690755-1"/>
    <s v="no"/>
    <s v="Si"/>
    <s v="Si"/>
    <m/>
    <m/>
    <m/>
    <m/>
    <m/>
    <m/>
    <m/>
    <m/>
    <m/>
    <m/>
    <m/>
    <m/>
    <m/>
    <m/>
    <m/>
    <m/>
    <m/>
    <m/>
  </r>
  <r>
    <s v="10763806-7"/>
    <s v="Eduardo Alejandro Lillo Miranda"/>
    <s v="Eduardo Alejandro"/>
    <s v="Lillo"/>
    <s v="Miranda"/>
    <s v="Tooltek SPA."/>
    <d v="1969-10-03T00:00:00"/>
    <s v="Chilena"/>
    <s v="M"/>
    <s v="Divorciado"/>
    <m/>
    <x v="8"/>
    <s v="1"/>
    <s v="Gerencia General"/>
    <s v="1.3"/>
    <s v="Gerencia Comercial"/>
    <d v="2026-03-09T00:00:00"/>
    <s v="10-03-2026"/>
    <s v=" 25 Días"/>
    <s v="No"/>
    <s v="$ 539.000"/>
    <s v="$ 0"/>
    <s v="$ 0"/>
    <s v="Uno"/>
    <m/>
    <s v="Fonasa"/>
    <s v="Sin Información"/>
    <m/>
    <m/>
    <s v="del Libertador Gral. Bernardo O'higgins"/>
    <s v="Rancagua"/>
    <s v="Rancagua"/>
    <s v="Dr. Augusto Figueroa 68, Villa San Joaquín"/>
    <m/>
    <m/>
    <s v="953688144"/>
    <m/>
    <m/>
    <s v="lillo.eduardo@gmail.com"/>
    <s v="10763806-7"/>
    <s v="%"/>
    <n v="7.0000000000000007E-2"/>
    <s v="Transferencia"/>
    <s v="Cuenta Vista"/>
    <s v="mensual"/>
    <s v="BANCO DE CHILE"/>
    <s v="000259221319"/>
    <s v="N"/>
    <s v="ninguna"/>
    <m/>
    <m/>
    <d v="2026-05-31T00:00:00"/>
    <s v="Plazo Fijo"/>
    <m/>
    <m/>
    <m/>
    <m/>
    <s v="Gerencia General"/>
    <x v="1"/>
    <s v="$ "/>
    <m/>
    <s v="Lunes a Viernes"/>
    <s v="Jornada semanal ordinaria"/>
    <m/>
    <n v="44"/>
    <s v="Casa Matriz"/>
    <m/>
    <s v="Erich David Olate"/>
    <s v="14257849-2"/>
    <s v="no"/>
    <s v="Si"/>
    <s v="Si"/>
    <m/>
    <m/>
    <m/>
    <s v="Instalaciones del empleador"/>
    <m/>
    <m/>
    <m/>
    <m/>
    <m/>
    <m/>
    <m/>
    <m/>
    <m/>
    <m/>
    <m/>
    <m/>
    <m/>
    <m/>
  </r>
  <r>
    <s v="10827215-5"/>
    <s v="Eric David Cisternas Faundez"/>
    <s v="Eric David"/>
    <s v="Cisternas"/>
    <s v="Faundez"/>
    <s v="Tooltek SPA."/>
    <d v="1968-02-17T00:00:00"/>
    <s v="Chilena"/>
    <s v="M"/>
    <s v="Casado"/>
    <m/>
    <x v="10"/>
    <s v="1"/>
    <s v="Gerencia General"/>
    <s v="1.1"/>
    <s v="Gerencia de Operaciones"/>
    <d v="2022-08-16T00:00:00"/>
    <m/>
    <s v=" 3 Años 7 Meses 18 Días"/>
    <s v="No"/>
    <s v="$ 3.415.500"/>
    <s v="$ 0"/>
    <s v="$ 0"/>
    <s v="Habitat"/>
    <m/>
    <s v="Banmedica"/>
    <s v="Sin Información"/>
    <m/>
    <m/>
    <s v="Metropolitana"/>
    <s v="Santiago"/>
    <s v="San José de Maipo"/>
    <s v="Camino Las Lomas El Manzano"/>
    <s v="438"/>
    <s v="15"/>
    <s v="976487641"/>
    <m/>
    <s v="eric.cisternas@tooltek.cl"/>
    <s v="eric.cisternas@gmail.com"/>
    <s v="10827215-5"/>
    <s v="UF"/>
    <n v="5.9569999999999999"/>
    <s v="Transferencia"/>
    <s v="Cuenta Corriente"/>
    <s v="mensual"/>
    <s v="SCOTIABANK"/>
    <s v="000985304564"/>
    <s v="N"/>
    <s v="ninguna"/>
    <m/>
    <m/>
    <m/>
    <s v="Indefinido"/>
    <m/>
    <m/>
    <m/>
    <m/>
    <s v="Gerencia General"/>
    <x v="0"/>
    <s v="$ "/>
    <m/>
    <s v="Lunes a Viernes"/>
    <m/>
    <n v="5"/>
    <n v="44"/>
    <s v="Casa Matriz"/>
    <m/>
    <s v="Gunther Peter Viertel"/>
    <s v="16338069-2"/>
    <s v="no"/>
    <s v="Si"/>
    <s v="Si"/>
    <m/>
    <m/>
    <m/>
    <m/>
    <m/>
    <m/>
    <m/>
    <m/>
    <m/>
    <m/>
    <m/>
    <m/>
    <m/>
    <m/>
    <m/>
    <m/>
    <m/>
    <m/>
  </r>
  <r>
    <s v="14257849-2"/>
    <s v="Erich David Olate Valdes"/>
    <s v="Erich David"/>
    <s v="Olate"/>
    <s v="Valdes"/>
    <s v="Tooltek SPA."/>
    <d v="1974-05-18T00:00:00"/>
    <s v="Chilena"/>
    <s v="M"/>
    <s v="Casado"/>
    <m/>
    <x v="11"/>
    <s v="1"/>
    <s v="Gerencia General"/>
    <s v="1.3"/>
    <s v="Gerencia Comercial"/>
    <d v="2023-07-04T00:00:00"/>
    <m/>
    <s v=" 2 Años 8 Meses 30 Días"/>
    <s v="Si"/>
    <s v="$ 3.415.500"/>
    <s v="$ 0"/>
    <s v="$ 100.000"/>
    <s v="Capital"/>
    <m/>
    <s v="Fonasa"/>
    <s v="Sin Información"/>
    <m/>
    <m/>
    <s v="Metropolitana"/>
    <s v="Santiago"/>
    <s v="San Bernardo"/>
    <s v="Valle Huasco Norte"/>
    <s v="497"/>
    <m/>
    <s v="962089050"/>
    <s v="940184850"/>
    <s v="erich.olate@tooltek.cl"/>
    <s v="ericholate@hotmail.com"/>
    <s v="14257849-2"/>
    <s v="%"/>
    <n v="7.0000000000000007E-2"/>
    <s v="Transferencia"/>
    <s v="Cuenta Vista"/>
    <s v="mensual"/>
    <s v="SCOTIABANK"/>
    <s v="990256713"/>
    <s v="N"/>
    <s v="ninguna"/>
    <m/>
    <m/>
    <m/>
    <s v="Indefinido"/>
    <m/>
    <m/>
    <m/>
    <m/>
    <s v="Gerencia General"/>
    <x v="1"/>
    <s v="$ "/>
    <m/>
    <s v="Lunes a Viernes"/>
    <m/>
    <n v="5"/>
    <n v="44"/>
    <s v="Casa Matriz"/>
    <m/>
    <s v="Gunther Peter Viertel"/>
    <s v="16338069-2"/>
    <s v="no"/>
    <s v="Si"/>
    <s v="Si"/>
    <m/>
    <m/>
    <m/>
    <m/>
    <m/>
    <m/>
    <m/>
    <m/>
    <m/>
    <m/>
    <m/>
    <m/>
    <m/>
    <m/>
    <m/>
    <m/>
    <m/>
    <m/>
  </r>
  <r>
    <s v="26066981-8"/>
    <s v="Eudo Eduine Parra Larreal"/>
    <s v="Eudo Eduine"/>
    <s v="Parra"/>
    <s v="Larreal"/>
    <s v="Tooltek SPA."/>
    <d v="1981-04-29T00:00:00"/>
    <s v="Venezolana"/>
    <s v="M"/>
    <s v="Soltero"/>
    <m/>
    <x v="8"/>
    <s v="1"/>
    <s v="Gerencia General"/>
    <s v="1.3"/>
    <s v="Gerencia Comercial"/>
    <d v="2025-10-01T00:00:00"/>
    <s v="01-10-2025"/>
    <s v=" 6 Meses 2 Días"/>
    <s v="No"/>
    <s v="$ 539.000"/>
    <s v="$ 0"/>
    <s v="$ 0"/>
    <s v="Capital"/>
    <m/>
    <s v="Fonasa"/>
    <s v="Sin Información"/>
    <m/>
    <m/>
    <s v="del BioBio"/>
    <s v="Tomé"/>
    <s v="Tomé"/>
    <s v="Vicente Palacios 2908"/>
    <m/>
    <m/>
    <s v="56931902806"/>
    <m/>
    <m/>
    <s v="PARRAEUDO81@GMAIL.COM"/>
    <s v="26066981-8"/>
    <s v="%"/>
    <n v="7.0000000000000007E-2"/>
    <s v="Transferencia"/>
    <s v="Cuenta Corriente"/>
    <s v="mensual"/>
    <s v="BANCO FALABELLA"/>
    <s v="19993442884"/>
    <s v="N"/>
    <s v="ninguna"/>
    <m/>
    <m/>
    <m/>
    <s v="Indefinido"/>
    <s v="9"/>
    <m/>
    <m/>
    <m/>
    <s v="Gerencia General"/>
    <x v="1"/>
    <s v="$ "/>
    <m/>
    <s v="Lunes a Viernes"/>
    <s v="Jornada semanal ordinaria"/>
    <n v="5"/>
    <n v="42"/>
    <s v="Casa Matriz"/>
    <m/>
    <s v="Erich David Olate"/>
    <s v="14257849-2"/>
    <s v="no"/>
    <s v="Si"/>
    <s v="Si"/>
    <m/>
    <m/>
    <m/>
    <s v="Instalaciones del empleador"/>
    <m/>
    <m/>
    <m/>
    <m/>
    <m/>
    <m/>
    <m/>
    <m/>
    <s v="Lunes, Martes, Miercoles, Jueves, Viernes"/>
    <m/>
    <m/>
    <m/>
    <m/>
    <m/>
  </r>
  <r>
    <s v="11166150-2"/>
    <s v="Eugenia Patricia Tognarelli Espinoza"/>
    <s v="Eugenia Patricia"/>
    <s v="Tognarelli"/>
    <s v="Espinoza"/>
    <s v="Tooltek SPA."/>
    <d v="1967-02-13T00:00:00"/>
    <s v="Chilena"/>
    <s v="F"/>
    <s v="Soltero"/>
    <m/>
    <x v="12"/>
    <s v="1"/>
    <s v="Gerencia General"/>
    <s v="1.3"/>
    <s v="Gerencia Comercial"/>
    <d v="2025-11-03T00:00:00"/>
    <m/>
    <s v=" 4 Meses 30 Días"/>
    <s v="No"/>
    <s v="$ 630.000"/>
    <s v="$ 0"/>
    <s v="$ 50.000"/>
    <s v="Capital"/>
    <m/>
    <s v="Fonasa"/>
    <s v="Sin Información"/>
    <m/>
    <m/>
    <s v="Metropolitana"/>
    <s v="Santiago"/>
    <s v="Maipú"/>
    <s v="Lago de como 18785"/>
    <m/>
    <m/>
    <s v="56978923683"/>
    <m/>
    <m/>
    <s v="Kena131967@gmail.com"/>
    <s v="11.166.150-2"/>
    <s v="%"/>
    <n v="7.0000000000000007E-2"/>
    <s v="Transferencia"/>
    <s v="Cuenta Corriente"/>
    <s v="mensual"/>
    <s v="ITAÚ"/>
    <s v="0229122306"/>
    <s v="N"/>
    <s v="ninguna"/>
    <m/>
    <m/>
    <d v="2026-04-30T00:00:00"/>
    <s v="Plazo Fijo"/>
    <m/>
    <m/>
    <m/>
    <m/>
    <s v="Gerencia General"/>
    <x v="1"/>
    <s v="$ "/>
    <m/>
    <s v="Lunes a Viernes"/>
    <s v="Jornada semanal ordinaria"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s v="Lunes, Martes, Miercoles, Jueves, Viernes"/>
    <m/>
    <m/>
    <m/>
    <m/>
    <m/>
  </r>
  <r>
    <s v="16473711-K"/>
    <s v="Francisco Javier Cuevas Conejeros"/>
    <s v="Francisco Javier"/>
    <s v="Cuevas"/>
    <s v="Conejeros"/>
    <s v="Tooltek SPA."/>
    <d v="1986-11-21T00:00:00"/>
    <s v="Chilena"/>
    <s v="M"/>
    <s v="Soltero"/>
    <m/>
    <x v="13"/>
    <s v="1"/>
    <s v="Gerencia General"/>
    <s v="1.3"/>
    <s v="Gerencia Comercial"/>
    <d v="2025-10-01T00:00:00"/>
    <s v="30-09-2025"/>
    <s v=" 6 Meses 2 Días"/>
    <s v="No"/>
    <s v="$ 1.300.000"/>
    <s v="$ 0"/>
    <s v="$ 0"/>
    <s v="Modelo"/>
    <m/>
    <s v="Consalud"/>
    <s v="Sin Información"/>
    <m/>
    <m/>
    <s v="Metropolitana"/>
    <s v="Santiago"/>
    <s v="Maipú"/>
    <s v="Arquitecto Héctor Mardones 5007"/>
    <m/>
    <m/>
    <s v="56992779040"/>
    <m/>
    <m/>
    <s v="fjcuevasc@gmail.com"/>
    <s v="16473711-k0"/>
    <s v="UF"/>
    <n v="6.91"/>
    <s v="Transferencia"/>
    <s v="Cuenta Corriente"/>
    <s v="mensual"/>
    <s v="BCI"/>
    <s v="777916473711"/>
    <s v="N"/>
    <s v="ninguna"/>
    <m/>
    <m/>
    <m/>
    <s v="Indefinido"/>
    <m/>
    <m/>
    <m/>
    <m/>
    <s v="Gerencia General"/>
    <x v="1"/>
    <s v="$ "/>
    <m/>
    <s v="Lunes a Viernes"/>
    <s v="Jornada semanal ordinaria"/>
    <n v="5"/>
    <n v="42"/>
    <s v="Casa Matriz"/>
    <m/>
    <s v="Erich David Olate"/>
    <s v="14257849-2"/>
    <s v="no"/>
    <s v="Si"/>
    <s v="Si"/>
    <m/>
    <m/>
    <m/>
    <s v="Instalaciones del empleador"/>
    <m/>
    <m/>
    <m/>
    <m/>
    <m/>
    <m/>
    <m/>
    <m/>
    <s v="Lunes, Martes, Miercoles, Jueves, Viernes"/>
    <m/>
    <m/>
    <m/>
    <m/>
    <m/>
  </r>
  <r>
    <s v="17375907-K"/>
    <s v="Francisco Javier Puga Leviman"/>
    <s v="Francisco Javier"/>
    <s v="Puga"/>
    <s v="Leviman"/>
    <s v="Tooltek SPA."/>
    <d v="1990-05-18T00:00:00"/>
    <s v="Chilena"/>
    <s v="M"/>
    <s v="Divorciado"/>
    <s v="Contador Auditor"/>
    <x v="14"/>
    <s v="1"/>
    <s v="Gerencia General"/>
    <s v="1.2"/>
    <s v="Gerencia de Administracion y Finanzas"/>
    <d v="2023-10-02T00:00:00"/>
    <m/>
    <s v=" 2 Años 6 Meses 1 Días"/>
    <s v="Si"/>
    <s v="$ 1.345.500"/>
    <s v="$ 0"/>
    <s v="$ 50.000"/>
    <s v="Provida"/>
    <m/>
    <s v="Nueva Mas Vida"/>
    <s v="Sin Información"/>
    <m/>
    <m/>
    <s v="Metropolitana"/>
    <s v="Santiago"/>
    <s v="Cerro Navia"/>
    <s v="Saigon"/>
    <s v="7453"/>
    <m/>
    <s v="952080620"/>
    <m/>
    <s v="francisco.puga@tooltek.cl"/>
    <s v="fco.puga.leviman@gmail.com"/>
    <s v="francisco.puga@tooltek.cl"/>
    <s v="UF+$"/>
    <n v="1.302"/>
    <s v="Transferencia"/>
    <s v="Cuenta Corriente"/>
    <s v="mensual"/>
    <s v="SANTANDER"/>
    <s v="87057640"/>
    <s v="N"/>
    <s v="ninguna"/>
    <m/>
    <m/>
    <m/>
    <s v="Indefinido"/>
    <m/>
    <m/>
    <m/>
    <m/>
    <s v="Gerencia General"/>
    <x v="2"/>
    <s v="$ "/>
    <m/>
    <s v="Lunes a Viernes"/>
    <s v="Jornada semanal ordinaria"/>
    <n v="5"/>
    <n v="44"/>
    <s v="Casa Matriz"/>
    <m/>
    <s v="Jose Alejandro Oyarce"/>
    <s v="16690755-1"/>
    <s v="no"/>
    <s v="Si"/>
    <s v="Si"/>
    <m/>
    <m/>
    <m/>
    <s v="Instalaciones del empleador"/>
    <m/>
    <m/>
    <m/>
    <m/>
    <m/>
    <m/>
    <m/>
    <m/>
    <s v="Lunes, Martes, Miercoles, Jueves, Viernes"/>
    <m/>
    <m/>
    <m/>
    <m/>
    <m/>
  </r>
  <r>
    <s v="19314218-4"/>
    <s v="Geraldine Marlene Santander Parra"/>
    <s v="Geraldine Marlene"/>
    <s v="Santander"/>
    <s v="Parra"/>
    <s v="Tooltek SPA."/>
    <d v="1996-04-20T00:00:00"/>
    <s v="Chilena"/>
    <s v="F"/>
    <m/>
    <m/>
    <x v="15"/>
    <s v="1"/>
    <s v="Gerencia General"/>
    <s v="1.1"/>
    <s v="Gerencia de Operaciones"/>
    <d v="2021-08-04T00:00:00"/>
    <m/>
    <s v=" 4 Años 7 Meses 30 Días"/>
    <s v="No"/>
    <s v="$ 861.967"/>
    <s v="$ 0"/>
    <s v="$ 50.000"/>
    <s v="Uno"/>
    <m/>
    <s v="Fonasa"/>
    <s v="Sin Información"/>
    <m/>
    <m/>
    <s v="Metropolitana"/>
    <s v="Santiago"/>
    <s v="San Ramón"/>
    <s v="Anibal Zañartu"/>
    <s v="8016"/>
    <m/>
    <s v="971066669"/>
    <m/>
    <s v="geraldine.santander@tooltek.cl"/>
    <s v="geraldinesantander1996@gmail.com"/>
    <s v="19314218-4"/>
    <s v="%"/>
    <n v="7.0000000000000007E-2"/>
    <s v="Transferencia"/>
    <s v="Cuenta Corriente"/>
    <s v="mensual"/>
    <s v="BANCOESTADO"/>
    <s v="19314218"/>
    <s v="N"/>
    <s v="ninguna"/>
    <m/>
    <m/>
    <m/>
    <s v="Indefinido"/>
    <m/>
    <m/>
    <m/>
    <m/>
    <s v="Gerencia General"/>
    <x v="0"/>
    <s v="$ "/>
    <m/>
    <s v="Lunes a Viernes"/>
    <m/>
    <n v="5"/>
    <n v="44"/>
    <s v="Casa Matriz"/>
    <m/>
    <s v="Eric David Cisternas"/>
    <s v="10827215-5"/>
    <s v="no"/>
    <s v="Si"/>
    <s v="Si"/>
    <m/>
    <m/>
    <m/>
    <m/>
    <m/>
    <m/>
    <m/>
    <m/>
    <m/>
    <m/>
    <m/>
    <m/>
    <m/>
    <m/>
    <m/>
    <m/>
    <m/>
    <m/>
  </r>
  <r>
    <s v="20054097-2"/>
    <s v="Gianfranco Alexander Flores Cordero"/>
    <s v="Gianfranco Alexander"/>
    <s v="Flores"/>
    <s v="Cordero"/>
    <s v="Tooltek SPA."/>
    <d v="1999-01-26T00:00:00"/>
    <s v="Chilena"/>
    <s v="M"/>
    <s v="Soltero"/>
    <m/>
    <x v="0"/>
    <s v="1"/>
    <s v="Gerencia General"/>
    <s v="1.1"/>
    <s v="Gerencia de Operaciones"/>
    <d v="2025-01-02T00:00:00"/>
    <s v="06-01-2025"/>
    <s v=" 1 Años 3 Meses 1 Días"/>
    <s v="No"/>
    <s v="$ 735.206"/>
    <s v="$ 0"/>
    <s v="$ 50.000"/>
    <s v="Modelo"/>
    <m/>
    <s v="Fonasa"/>
    <s v="Sin Información"/>
    <m/>
    <m/>
    <s v="Metropolitana"/>
    <s v="Santiago"/>
    <s v="Maipú"/>
    <s v="jacques Costou 910"/>
    <m/>
    <m/>
    <s v="+56990310638"/>
    <m/>
    <m/>
    <s v="gianfranco.flores.cordero@gmail.com"/>
    <s v="20054097-2"/>
    <s v="%"/>
    <n v="7.0000000000000007E-2"/>
    <s v="Transferencia"/>
    <s v="Cuenta Corriente"/>
    <s v="mensual"/>
    <s v="SANTANDER"/>
    <s v="000098848185"/>
    <s v="N"/>
    <s v="ninguna"/>
    <m/>
    <m/>
    <m/>
    <s v="Indefinido"/>
    <m/>
    <m/>
    <m/>
    <m/>
    <s v="Gerencia General"/>
    <x v="0"/>
    <s v="$ "/>
    <m/>
    <s v="Lunes a Viernes"/>
    <s v="Jornada semanal ordinaria"/>
    <n v="5"/>
    <n v="44"/>
    <s v="Casa Matriz"/>
    <m/>
    <s v="Roberto Felipe Nicolas Riquelme"/>
    <s v="19223334-8"/>
    <s v="no"/>
    <s v="Si"/>
    <s v="Si"/>
    <m/>
    <m/>
    <m/>
    <s v="Instalaciones del empleador"/>
    <m/>
    <m/>
    <m/>
    <m/>
    <m/>
    <m/>
    <m/>
    <m/>
    <s v="Lunes, Martes, Miercoles, Jueves, Viernes"/>
    <m/>
    <m/>
    <m/>
    <m/>
    <s v="si"/>
  </r>
  <r>
    <s v="16338069-2"/>
    <s v="Gunther Peter Viertel Muñoz"/>
    <s v="Gunther Peter"/>
    <s v="Viertel"/>
    <s v="Muñoz"/>
    <s v="Tooltek SPA."/>
    <d v="1986-05-04T00:00:00"/>
    <s v="Chilena"/>
    <s v="M"/>
    <s v="Casado"/>
    <m/>
    <x v="6"/>
    <s v="1"/>
    <s v="Gerencia General"/>
    <m/>
    <m/>
    <d v="2018-03-01T00:00:00"/>
    <m/>
    <s v=" 8 Años 1 Meses 2 Días"/>
    <s v="No"/>
    <s v="$ 6.500.000"/>
    <s v="$ 0"/>
    <s v="$ 0"/>
    <s v="Sin AFP"/>
    <m/>
    <s v="Banmedica"/>
    <s v="Sin Información"/>
    <m/>
    <m/>
    <s v="Metropolitana"/>
    <s v="Santiago"/>
    <s v="San Joaquín"/>
    <s v="Debussy"/>
    <s v="2944"/>
    <m/>
    <s v="982301533"/>
    <m/>
    <s v="Gunther.viertel@tooltek.cl"/>
    <s v="gunther@viertel.cl"/>
    <s v="16338069-2"/>
    <s v="UF"/>
    <n v="11.016"/>
    <s v="Transferencia"/>
    <s v="Cuenta Corriente"/>
    <s v="mensual"/>
    <s v="SECURITY"/>
    <s v="928372022"/>
    <s v="N"/>
    <s v="ninguna"/>
    <m/>
    <m/>
    <m/>
    <s v="Indefinido"/>
    <m/>
    <m/>
    <m/>
    <m/>
    <s v="Gerencia General"/>
    <x v="3"/>
    <s v="$ "/>
    <m/>
    <s v="Lunes a Viernes"/>
    <m/>
    <n v="5"/>
    <n v="44"/>
    <s v="Casa Matriz"/>
    <m/>
    <m/>
    <m/>
    <s v="no"/>
    <s v="Si"/>
    <s v="Si"/>
    <m/>
    <m/>
    <m/>
    <m/>
    <m/>
    <m/>
    <m/>
    <m/>
    <m/>
    <m/>
    <m/>
    <m/>
    <m/>
    <m/>
    <m/>
    <m/>
    <m/>
    <m/>
  </r>
  <r>
    <s v="12567161-6"/>
    <s v="Gustavo Cesar Augusto Rojas Hip"/>
    <s v="Gustavo Cesar Augusto"/>
    <s v="Rojas"/>
    <s v="Hip"/>
    <s v="Tooltek SPA."/>
    <d v="1974-11-11T00:00:00"/>
    <s v="Chilena"/>
    <s v="M"/>
    <s v="Divorciado"/>
    <m/>
    <x v="16"/>
    <s v="1"/>
    <s v="Gerencia General"/>
    <s v="1.2"/>
    <s v="Gerencia de Administracion y Finanzas"/>
    <d v="2026-01-14T00:00:00"/>
    <s v="13-01-2026"/>
    <s v=" 2 Meses 20 Días"/>
    <s v="Si"/>
    <s v="$ 975.000"/>
    <s v="$ 0"/>
    <s v="$ 50.000"/>
    <s v="Capital"/>
    <m/>
    <s v="Fonasa"/>
    <s v="Sin Información"/>
    <m/>
    <m/>
    <s v="Metropolitana"/>
    <s v="Santiago"/>
    <s v="Peñalolén"/>
    <s v="Cabo Primero Pedro Flores 4320"/>
    <m/>
    <m/>
    <s v="956459537"/>
    <m/>
    <m/>
    <s v="grojaship@gmail.com"/>
    <s v="12.567.161-6"/>
    <s v="%"/>
    <n v="7.0000000000000007E-2"/>
    <s v="Transferencia"/>
    <s v="Cuenta Vista"/>
    <s v="mensual"/>
    <s v="Mercado Pago Emisora"/>
    <s v="1031299467"/>
    <s v="N"/>
    <s v="ninguna"/>
    <m/>
    <m/>
    <d v="2026-04-30T00:00:00"/>
    <s v="Plazo Fijo"/>
    <s v="9"/>
    <m/>
    <m/>
    <m/>
    <s v="Gerencia General"/>
    <x v="2"/>
    <s v="$ "/>
    <m/>
    <s v="Lunes a Viernes"/>
    <s v="Jornada semanal ordinaria"/>
    <n v="5"/>
    <n v="44"/>
    <s v="Casa Matriz"/>
    <m/>
    <s v="Jose Alejandro Oyarce"/>
    <s v="16690755-1"/>
    <s v="no"/>
    <s v="Si"/>
    <s v="Si"/>
    <m/>
    <m/>
    <m/>
    <s v="Instalaciones del empleador"/>
    <m/>
    <m/>
    <m/>
    <m/>
    <m/>
    <m/>
    <m/>
    <m/>
    <s v="Lunes, Martes, Miercoles, Jueves, Viernes"/>
    <m/>
    <m/>
    <m/>
    <m/>
    <m/>
  </r>
  <r>
    <s v="10394635-2"/>
    <s v="Hector Fabian Reyes Lizama"/>
    <s v="Hector Fabian"/>
    <s v="Reyes"/>
    <s v="Lizama"/>
    <s v="Tooltek SPA."/>
    <d v="1967-12-23T00:00:00"/>
    <s v="Chilena"/>
    <s v="M"/>
    <m/>
    <m/>
    <x v="8"/>
    <s v="1"/>
    <s v="Gerencia General"/>
    <s v="1.3"/>
    <s v="Gerencia Comercial"/>
    <d v="2024-01-29T00:00:00"/>
    <m/>
    <s v=" 2 Años 2 Meses 5 Días"/>
    <s v="Si"/>
    <s v="$ 539.000"/>
    <s v="$ 0"/>
    <s v="$ 0"/>
    <s v="Capital"/>
    <m/>
    <s v="Fonasa"/>
    <s v="Sin Información"/>
    <m/>
    <m/>
    <s v="Metropolitana"/>
    <s v="Santiago"/>
    <s v="La Cisterna"/>
    <s v="Brisas De Maipo"/>
    <s v="130"/>
    <s v="132"/>
    <s v="984519377"/>
    <s v="994993845"/>
    <s v="Hector.Reyes@tooltek.cl"/>
    <s v="hreyeslizama@gmail.com"/>
    <s v="10394635-2"/>
    <s v="%"/>
    <n v="7.0000000000000007E-2"/>
    <s v="Transferencia"/>
    <s v="Cuenta Vista"/>
    <s v="mensual"/>
    <s v="BANCO RIPLEY"/>
    <s v="4015200205"/>
    <s v="N"/>
    <s v="ninguna"/>
    <m/>
    <m/>
    <m/>
    <s v="Indefinido"/>
    <m/>
    <m/>
    <m/>
    <m/>
    <s v="Gerencia General"/>
    <x v="1"/>
    <s v="$ "/>
    <m/>
    <s v="Lunes a Viernes"/>
    <m/>
    <n v="5"/>
    <n v="44"/>
    <s v="Casa Matriz"/>
    <m/>
    <s v="Erich David Olate"/>
    <s v="14257849-2"/>
    <s v="no"/>
    <s v="Si"/>
    <s v="Si"/>
    <m/>
    <m/>
    <m/>
    <s v="Instalaciones del empleador"/>
    <m/>
    <m/>
    <m/>
    <m/>
    <m/>
    <m/>
    <m/>
    <m/>
    <m/>
    <m/>
    <m/>
    <m/>
    <m/>
    <m/>
  </r>
  <r>
    <s v="12237134-4"/>
    <s v="Hugo Enrique Espinoza Cornejo"/>
    <s v="Hugo Enrique"/>
    <s v="Espinoza"/>
    <s v="Cornejo"/>
    <s v="Tooltek SPA."/>
    <d v="1972-09-02T00:00:00"/>
    <s v="Chilena"/>
    <s v="M"/>
    <m/>
    <m/>
    <x v="0"/>
    <s v="1"/>
    <s v="Gerencia General"/>
    <s v="1.1"/>
    <s v="Gerencia de Operaciones"/>
    <d v="2025-08-01T00:00:00"/>
    <s v="01-07-2025"/>
    <s v=" 8 Meses 2 Días"/>
    <s v="No"/>
    <s v="$ 735.206"/>
    <s v="$ 0"/>
    <s v="$ 50.000"/>
    <s v="Habitat"/>
    <m/>
    <s v="Fonasa"/>
    <s v="Sin Información"/>
    <m/>
    <m/>
    <s v="Metropolitana"/>
    <s v="Santiago"/>
    <s v="San Bernardo"/>
    <s v="Purranque 228"/>
    <m/>
    <m/>
    <s v="964396677"/>
    <m/>
    <m/>
    <s v="hugoespinozacornejo@gmail.com"/>
    <s v="12237134-4"/>
    <s v="%"/>
    <n v="7.0000000000000007E-2"/>
    <m/>
    <s v="Cuenta Vista"/>
    <s v="mensual"/>
    <s v="BANCOESTADO"/>
    <s v="12237134"/>
    <s v="N"/>
    <s v="ninguna"/>
    <m/>
    <m/>
    <m/>
    <s v="Indefinido"/>
    <m/>
    <m/>
    <m/>
    <m/>
    <s v="Gerencia General"/>
    <x v="0"/>
    <s v="$ "/>
    <m/>
    <s v="Lunes a Viernes"/>
    <s v="Jornada semanal ordinaria"/>
    <n v="5"/>
    <n v="44"/>
    <s v="Casa Matriz"/>
    <m/>
    <s v="Roberto Felipe Nicolas Riquelme"/>
    <s v="19223334-8"/>
    <s v="no"/>
    <s v="Si"/>
    <s v="Si"/>
    <m/>
    <m/>
    <m/>
    <m/>
    <m/>
    <m/>
    <m/>
    <m/>
    <m/>
    <m/>
    <m/>
    <m/>
    <s v="Lunes, Martes, Miercoles, Jueves, Viernes"/>
    <m/>
    <m/>
    <m/>
    <m/>
    <m/>
  </r>
  <r>
    <s v="26275948-2"/>
    <s v="Jesús Gil Juarez"/>
    <s v="Jesús"/>
    <s v="Gil"/>
    <s v="Juarez"/>
    <s v="Tooltek SPA."/>
    <d v="1988-09-07T00:00:00"/>
    <s v="Venezolana"/>
    <s v="M"/>
    <s v="Soltero"/>
    <m/>
    <x v="8"/>
    <s v="1"/>
    <s v="Gerencia General"/>
    <s v="1.3"/>
    <s v="Gerencia Comercial"/>
    <d v="2026-04-01T00:00:00"/>
    <m/>
    <s v=" 2 Días"/>
    <s v="No"/>
    <s v="$ 539.000"/>
    <s v="$ 0"/>
    <s v="$ 0"/>
    <s v="Habitat"/>
    <m/>
    <s v="Fonasa"/>
    <s v="Sin Información"/>
    <m/>
    <m/>
    <s v="Metropolitana"/>
    <s v="Santiago"/>
    <s v="Santiago"/>
    <s v="Franklin 200 dpto 713"/>
    <m/>
    <m/>
    <s v="56971603577"/>
    <m/>
    <m/>
    <s v="jegil61@gmail.com"/>
    <s v="26275948-2"/>
    <s v="%"/>
    <n v="7.0000000000000007E-2"/>
    <s v="Transferencia"/>
    <s v="Cuenta Corriente"/>
    <s v="mensual"/>
    <s v="SCOTIABANK"/>
    <s v="978882412"/>
    <s v="N"/>
    <s v="ninguna"/>
    <m/>
    <m/>
    <d v="2026-06-30T00:00:00"/>
    <s v="Plazo Fijo"/>
    <m/>
    <m/>
    <m/>
    <m/>
    <s v="Gerencia General"/>
    <x v="1"/>
    <s v="$ "/>
    <m/>
    <s v="Lunes a Viernes"/>
    <s v="Jornada semanal ordinaria"/>
    <n v="5"/>
    <n v="42"/>
    <s v="Casa Matriz"/>
    <m/>
    <s v="Erich David Olate"/>
    <s v="14257849-2"/>
    <s v="no"/>
    <s v="Si"/>
    <s v="No"/>
    <m/>
    <m/>
    <m/>
    <s v="Instalaciones del empleador"/>
    <m/>
    <m/>
    <m/>
    <m/>
    <m/>
    <m/>
    <m/>
    <m/>
    <s v="Lunes, Martes, Miercoles, Jueves, Viernes"/>
    <m/>
    <m/>
    <m/>
    <m/>
    <m/>
  </r>
  <r>
    <s v="21041970-5"/>
    <s v="Joaquin Guillermo Matus Galindo"/>
    <s v="Joaquin Guillermo"/>
    <s v="Matus"/>
    <s v="Galindo"/>
    <s v="Tooltek SPA."/>
    <d v="2002-06-11T00:00:00"/>
    <s v="Chilena"/>
    <s v="M"/>
    <s v="Soltero"/>
    <m/>
    <x v="0"/>
    <s v="1"/>
    <s v="Gerencia General"/>
    <s v="1.1"/>
    <s v="Gerencia de Operaciones"/>
    <d v="2024-07-24T00:00:00"/>
    <s v="01-02-2025"/>
    <s v=" 1 Años 8 Meses 10 Días"/>
    <s v="No"/>
    <s v="$ 735.206"/>
    <s v="$ 0"/>
    <s v="$ 50.000"/>
    <s v="Uno"/>
    <m/>
    <s v="Fonasa"/>
    <s v="Sin Información"/>
    <m/>
    <m/>
    <s v="Metropolitana"/>
    <s v="Santiago"/>
    <s v="Maipú"/>
    <s v="Toledo"/>
    <s v="1382"/>
    <m/>
    <s v="933698510"/>
    <m/>
    <s v="joaquin.matus@tooltek.cl"/>
    <s v="jmatus843@gmail.com"/>
    <s v="21041970-5"/>
    <s v="%"/>
    <n v="7.0000000000000007E-2"/>
    <s v="Transferencia"/>
    <s v="Cuenta Corriente"/>
    <s v="mensual"/>
    <s v="SANTANDER"/>
    <s v="00089623448"/>
    <s v="N"/>
    <s v="ninguna"/>
    <m/>
    <m/>
    <m/>
    <s v="Indefinido"/>
    <m/>
    <m/>
    <m/>
    <m/>
    <s v="Gerencia General"/>
    <x v="0"/>
    <s v="$ "/>
    <m/>
    <s v="Lunes a Viernes"/>
    <m/>
    <n v="5"/>
    <n v="44"/>
    <s v="Casa Matriz"/>
    <m/>
    <s v="Roberto Felipe Nicolas Riquelme"/>
    <s v="19223334-8"/>
    <s v="no"/>
    <s v="Si"/>
    <s v="Si"/>
    <m/>
    <m/>
    <m/>
    <m/>
    <m/>
    <m/>
    <m/>
    <m/>
    <m/>
    <m/>
    <m/>
    <m/>
    <m/>
    <m/>
    <m/>
    <m/>
    <m/>
    <m/>
  </r>
  <r>
    <s v="10346511-7"/>
    <s v="Jorge Hernan Vergara Diaz"/>
    <s v="Jorge Hernan"/>
    <s v="Vergara"/>
    <s v="Diaz"/>
    <s v="Tooltek SPA."/>
    <d v="1968-07-22T00:00:00"/>
    <s v="Chilena"/>
    <s v="M"/>
    <s v="Casado"/>
    <m/>
    <x v="17"/>
    <s v="1"/>
    <s v="Gerencia General"/>
    <s v="1.2"/>
    <s v="Gerencia de Administracion y Finanzas"/>
    <d v="2025-01-02T00:00:00"/>
    <s v="02-01-2025"/>
    <s v=" 1 Años 3 Meses 1 Días"/>
    <s v="Si"/>
    <s v="$ 1.345.500"/>
    <s v="$ 0"/>
    <s v="$ 50.000"/>
    <s v="Cuprum"/>
    <m/>
    <s v="Fonasa"/>
    <s v="Sin Información"/>
    <m/>
    <m/>
    <s v="Metropolitana"/>
    <s v="Santiago"/>
    <s v="Quilicura"/>
    <s v="Fontana Rosa Norte"/>
    <s v="76"/>
    <m/>
    <s v="+56978958237"/>
    <m/>
    <m/>
    <s v="jvergaradi@gmail.com"/>
    <s v="10346511-7"/>
    <s v="%"/>
    <n v="7.0000000000000007E-2"/>
    <s v="Transferencia"/>
    <s v="Cuenta Vista"/>
    <s v="mensual"/>
    <s v="Mercado Pago Emisora"/>
    <s v="1068591747"/>
    <s v="N"/>
    <s v="ninguna"/>
    <m/>
    <m/>
    <m/>
    <s v="Indefinido"/>
    <m/>
    <m/>
    <m/>
    <m/>
    <s v="Gerencia General"/>
    <x v="2"/>
    <s v="$ "/>
    <m/>
    <s v="Lunes a Viernes"/>
    <s v="Jornada semanal ordinaria"/>
    <n v="5"/>
    <n v="44"/>
    <s v="Casa Matriz"/>
    <m/>
    <s v="Jose Alejandro Oyarce"/>
    <s v="16690755-1"/>
    <s v="no"/>
    <s v="Si"/>
    <s v="Si"/>
    <m/>
    <m/>
    <m/>
    <s v="Instalaciones del empleador"/>
    <m/>
    <m/>
    <m/>
    <m/>
    <m/>
    <m/>
    <m/>
    <m/>
    <s v="Lunes, Martes, Miercoles, Jueves, Viernes"/>
    <m/>
    <m/>
    <m/>
    <m/>
    <s v="si"/>
  </r>
  <r>
    <s v="11752719-0"/>
    <s v="Jorge Luis Washington Washington"/>
    <s v="Jorge Luis"/>
    <s v="Washington"/>
    <s v="Washington"/>
    <s v="Tooltek SPA."/>
    <d v="1971-07-02T00:00:00"/>
    <s v="Chilena"/>
    <s v="M"/>
    <m/>
    <m/>
    <x v="18"/>
    <s v="1"/>
    <s v="Gerencia General"/>
    <s v="1.1"/>
    <s v="Gerencia de Operaciones"/>
    <d v="2023-10-23T00:00:00"/>
    <m/>
    <s v=" 2 Años 5 Meses 11 Días"/>
    <s v="No"/>
    <s v="$ 771.966"/>
    <s v="$ 0"/>
    <s v="$ 50.000"/>
    <s v="Provida"/>
    <m/>
    <s v="Fonasa"/>
    <s v="Sin Información"/>
    <m/>
    <m/>
    <s v="Metropolitana"/>
    <s v="Santiago"/>
    <s v="Maipú"/>
    <s v="Pasaje Comas Sola"/>
    <s v="2784"/>
    <m/>
    <s v="971958315"/>
    <m/>
    <s v="jorgeluis.washington@tooltek.cl"/>
    <s v="familiawashingtoncordova@gmail.com"/>
    <s v="11752719-0"/>
    <s v="%"/>
    <n v="7.0000000000000007E-2"/>
    <s v="Transferencia"/>
    <s v="Cuenta Vista"/>
    <s v="mensual"/>
    <s v="Los Andes Tarjetas de Prepago S.A."/>
    <s v="11752719"/>
    <s v="N"/>
    <s v="ninguna"/>
    <m/>
    <m/>
    <m/>
    <s v="Indefinido"/>
    <m/>
    <m/>
    <m/>
    <m/>
    <s v="Gerencia General"/>
    <x v="0"/>
    <s v="$ "/>
    <m/>
    <s v="Lunes a Viernes"/>
    <m/>
    <n v="5"/>
    <n v="44"/>
    <s v="Casa Matriz"/>
    <m/>
    <s v="Eric David Cisternas"/>
    <s v="10827215-5"/>
    <s v="no"/>
    <s v="Si"/>
    <s v="Si"/>
    <m/>
    <m/>
    <m/>
    <m/>
    <m/>
    <m/>
    <m/>
    <m/>
    <m/>
    <m/>
    <m/>
    <m/>
    <m/>
    <m/>
    <m/>
    <m/>
    <m/>
    <m/>
  </r>
  <r>
    <s v="20708485-9"/>
    <s v="Jorge Luis Washington Cordova"/>
    <s v="Jorge Luis"/>
    <s v="Washington"/>
    <s v="Cordova"/>
    <s v="Tooltek SPA."/>
    <d v="2001-02-18T00:00:00"/>
    <s v="Chilena"/>
    <s v="M"/>
    <s v="Casado"/>
    <m/>
    <x v="19"/>
    <s v="1"/>
    <s v="Gerencia General"/>
    <s v="1.3"/>
    <s v="Gerencia Comercial"/>
    <d v="2023-12-05T00:00:00"/>
    <m/>
    <s v=" 2 Años 3 Meses 29 Días"/>
    <s v="No"/>
    <s v="$ 861.967"/>
    <s v="$ 0"/>
    <s v="$ 50.000"/>
    <s v="Uno"/>
    <m/>
    <s v="Fonasa"/>
    <s v="Sin Información"/>
    <m/>
    <m/>
    <s v="Metropolitana"/>
    <s v="Santiago"/>
    <s v="Maipú"/>
    <s v="Pasaje Comas Solas"/>
    <s v="2784"/>
    <m/>
    <s v="977040602"/>
    <m/>
    <s v="Jorge.washinton@tooltek.cl"/>
    <s v="jorgewashington040@gmail.com"/>
    <s v="20708485-9"/>
    <s v="%"/>
    <n v="7.0000000000000007E-2"/>
    <s v="Transferencia"/>
    <s v="Cuenta Corriente"/>
    <s v="mensual"/>
    <s v="SCOTIABANK"/>
    <s v="985612714"/>
    <s v="N"/>
    <s v="ninguna"/>
    <m/>
    <m/>
    <m/>
    <s v="Indefinido"/>
    <m/>
    <m/>
    <m/>
    <m/>
    <s v="Gerencia General"/>
    <x v="1"/>
    <s v="$ "/>
    <m/>
    <s v="Lunes a Viernes"/>
    <m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m/>
    <m/>
    <m/>
    <m/>
    <m/>
    <m/>
  </r>
  <r>
    <s v="16690755-1"/>
    <s v="Jose Alejandro Oyarce Sepulveda"/>
    <s v="Jose Alejandro"/>
    <s v="Oyarce"/>
    <s v="Sepulveda"/>
    <s v="Tooltek SPA."/>
    <d v="1988-05-15T00:00:00"/>
    <s v="Chilena"/>
    <s v="M"/>
    <s v="Soltero"/>
    <s v="Ingeniero Comercial"/>
    <x v="20"/>
    <s v="1"/>
    <s v="Gerencia General"/>
    <s v="1.2"/>
    <s v="Gerencia de Administracion y Finanzas"/>
    <d v="2022-12-21T00:00:00"/>
    <m/>
    <s v=" 3 Años 3 Meses 13 Días"/>
    <s v="No"/>
    <s v="$ 3.622.500"/>
    <s v="$ 0"/>
    <s v="$ 0"/>
    <s v="Habitat"/>
    <m/>
    <s v="Nueva Mas Vida"/>
    <s v="Sin Información"/>
    <m/>
    <m/>
    <s v="Metropolitana"/>
    <s v="Santiago"/>
    <s v="Providencia"/>
    <s v="Avenida Suecia"/>
    <s v="2561"/>
    <s v="407"/>
    <s v="997484050"/>
    <m/>
    <s v="jose.oyarce@tooltek.cl"/>
    <s v="jose.oyarce.sepulveda@gmail.com"/>
    <s v="16690755-1"/>
    <s v="UF"/>
    <n v="6.2279999999999998"/>
    <s v="Transferencia"/>
    <s v="Cuenta Corriente"/>
    <s v="mensual"/>
    <s v="BCI"/>
    <s v="86387227"/>
    <s v="N"/>
    <s v="ninguna"/>
    <m/>
    <m/>
    <m/>
    <s v="Indefinido"/>
    <m/>
    <m/>
    <m/>
    <m/>
    <s v="Gerencia General"/>
    <x v="2"/>
    <s v="$ "/>
    <m/>
    <s v="Lunes a Viernes"/>
    <m/>
    <n v="5"/>
    <n v="44"/>
    <s v="Casa Matriz"/>
    <m/>
    <s v="Gunther Peter Viertel"/>
    <s v="16338069-2"/>
    <s v="no"/>
    <s v="Si"/>
    <s v="Si"/>
    <m/>
    <m/>
    <m/>
    <m/>
    <m/>
    <m/>
    <m/>
    <m/>
    <m/>
    <m/>
    <m/>
    <m/>
    <m/>
    <m/>
    <m/>
    <m/>
    <m/>
    <m/>
  </r>
  <r>
    <s v="11486652-0"/>
    <s v="Jose Antonio Traslaviña Pinto"/>
    <s v="Jose Antonio"/>
    <s v="Traslaviña"/>
    <s v="Pinto"/>
    <s v="Tooltek SPA."/>
    <d v="1969-01-22T00:00:00"/>
    <s v="Chilena"/>
    <s v="M"/>
    <s v="Casado"/>
    <m/>
    <x v="7"/>
    <s v="1"/>
    <s v="Gerencia General"/>
    <s v="1.3"/>
    <s v="Gerencia Comercial"/>
    <d v="2026-03-02T00:00:00"/>
    <m/>
    <s v=" 1 Meses 1 Días"/>
    <s v="No"/>
    <s v="$ 1.000.000"/>
    <s v="$ 0"/>
    <s v="$ 0"/>
    <s v="Planvital"/>
    <m/>
    <s v="Fonasa"/>
    <s v="Sin Información"/>
    <m/>
    <m/>
    <s v="Metropolitana"/>
    <s v="Huechuraba"/>
    <s v="Huechuraba"/>
    <s v="Av Guanaco norte 1521"/>
    <m/>
    <m/>
    <s v="965013526"/>
    <m/>
    <m/>
    <s v="jtraslavinapinto@gmail.com"/>
    <s v="11486652-03"/>
    <s v="%"/>
    <n v="7.0000000000000007E-2"/>
    <s v="Transferencia"/>
    <s v="Cuenta Vista"/>
    <s v="mensual"/>
    <s v="BCI"/>
    <s v="67515681"/>
    <s v="N"/>
    <s v="ninguna"/>
    <m/>
    <m/>
    <d v="2026-05-31T00:00:00"/>
    <s v="Plazo Fijo"/>
    <s v="9"/>
    <m/>
    <m/>
    <m/>
    <s v="Gerencia General"/>
    <x v="1"/>
    <s v="$ "/>
    <m/>
    <s v="Lunes a Viernes"/>
    <s v="Jornada semanal ordinaria"/>
    <n v="5"/>
    <n v="44"/>
    <s v="Casa Matriz"/>
    <m/>
    <s v="Erich David Olate"/>
    <s v="14257849-2"/>
    <s v="no"/>
    <s v="Si"/>
    <s v="Si"/>
    <m/>
    <m/>
    <m/>
    <s v="Instalaciones del empleador"/>
    <m/>
    <m/>
    <m/>
    <m/>
    <m/>
    <m/>
    <m/>
    <m/>
    <s v="Lunes, Martes, Miercoles, Jueves, Viernes"/>
    <m/>
    <m/>
    <m/>
    <m/>
    <m/>
  </r>
  <r>
    <s v="20961375-1"/>
    <s v="Justyn Aaron Seguel Cortes"/>
    <s v="Justyn Aaron"/>
    <s v="Seguel"/>
    <s v="Cortes"/>
    <s v="Tooltek SPA."/>
    <d v="2002-02-03T00:00:00"/>
    <s v="Chilena"/>
    <s v="M"/>
    <s v="Casado"/>
    <m/>
    <x v="0"/>
    <s v="1"/>
    <s v="Gerencia General"/>
    <s v="1.1"/>
    <s v="Gerencia de Operaciones"/>
    <d v="2024-01-02T00:00:00"/>
    <m/>
    <s v=" 2 Años 3 Meses 1 Días"/>
    <s v="No"/>
    <s v="$ 735.206"/>
    <s v="$ 0"/>
    <s v="$ 50.000"/>
    <s v="Uno"/>
    <m/>
    <s v="Fonasa"/>
    <s v="Sin Información"/>
    <m/>
    <m/>
    <s v="Metropolitana"/>
    <s v="Santiago"/>
    <s v="Maipú"/>
    <s v="Nigeria"/>
    <s v="3389"/>
    <m/>
    <s v="956507932"/>
    <m/>
    <m/>
    <s v="justynseguel@gmail.com"/>
    <s v="20961375-1"/>
    <s v="%"/>
    <n v="7.0000000000000007E-2"/>
    <s v="Transferencia"/>
    <s v="Cuenta Corriente"/>
    <s v="mensual"/>
    <s v="BANCO FALABELLA"/>
    <s v="19991125471"/>
    <s v="N"/>
    <s v="ninguna"/>
    <m/>
    <m/>
    <m/>
    <s v="Indefinido"/>
    <m/>
    <m/>
    <m/>
    <m/>
    <s v="Gerencia General"/>
    <x v="0"/>
    <s v="$ "/>
    <m/>
    <s v="Lunes a Viernes"/>
    <m/>
    <n v="5"/>
    <n v="44"/>
    <s v="Casa Matriz"/>
    <m/>
    <s v="Roberto Felipe Nicolas Riquelme"/>
    <s v="19223334-8"/>
    <s v="no"/>
    <s v="Si"/>
    <s v="Si"/>
    <m/>
    <m/>
    <m/>
    <m/>
    <m/>
    <m/>
    <m/>
    <m/>
    <m/>
    <m/>
    <m/>
    <m/>
    <m/>
    <m/>
    <m/>
    <m/>
    <m/>
    <m/>
  </r>
  <r>
    <s v="12155399-6"/>
    <s v="Leandro Eduardo Navarrete Pizarro"/>
    <s v="Leandro Eduardo"/>
    <s v="Navarrete"/>
    <s v="Pizarro"/>
    <s v="Tooltek SPA."/>
    <d v="1974-01-27T00:00:00"/>
    <s v="Chilena"/>
    <s v="M"/>
    <s v="Casado"/>
    <m/>
    <x v="0"/>
    <s v="1"/>
    <s v="Gerencia General"/>
    <s v="1.1"/>
    <s v="Gerencia de Operaciones"/>
    <d v="2025-01-02T00:00:00"/>
    <s v="06-01-2025"/>
    <s v=" 1 Años 3 Meses 1 Días"/>
    <s v="No"/>
    <s v="$ 735.206"/>
    <s v="$ 0"/>
    <s v="$ 50.000"/>
    <s v="Capital"/>
    <m/>
    <s v="Fonasa"/>
    <s v="Sin Información"/>
    <m/>
    <m/>
    <s v="Metropolitana"/>
    <s v="Santiago"/>
    <s v="Maipú"/>
    <s v="Las Tinajas 1206"/>
    <m/>
    <m/>
    <s v="+56995847505"/>
    <m/>
    <m/>
    <s v="leandritoeduardo@gmail.com"/>
    <s v="12.155.399-6"/>
    <s v="UF"/>
    <n v="7"/>
    <s v="Transferencia"/>
    <s v="Cuenta Vista"/>
    <s v="mensual"/>
    <s v="BANCOESTADO"/>
    <s v="12155399"/>
    <s v="N"/>
    <s v="ninguna"/>
    <m/>
    <m/>
    <m/>
    <s v="Indefinido"/>
    <m/>
    <m/>
    <m/>
    <m/>
    <s v="Gerencia General"/>
    <x v="0"/>
    <s v="$ "/>
    <m/>
    <s v="Lunes a Viernes"/>
    <s v="Jornada semanal ordinaria"/>
    <n v="5"/>
    <n v="44"/>
    <s v="Casa Matriz"/>
    <m/>
    <s v="Roberto Felipe Nicolas Riquelme"/>
    <s v="19223334-8"/>
    <s v="no"/>
    <s v="Si"/>
    <s v="Si"/>
    <m/>
    <m/>
    <m/>
    <s v="Instalaciones del empleador"/>
    <m/>
    <m/>
    <m/>
    <m/>
    <m/>
    <m/>
    <m/>
    <m/>
    <s v="Lunes, Martes, Miercoles, Jueves, Viernes"/>
    <m/>
    <m/>
    <m/>
    <m/>
    <s v="si"/>
  </r>
  <r>
    <s v="18330930-7"/>
    <s v="Leonardo Mauricio Antonio Maldonado Alegria"/>
    <s v="Leonardo Mauricio Antonio"/>
    <s v="Maldonado"/>
    <s v="Alegria"/>
    <s v="Tooltek SPA."/>
    <d v="1993-11-17T00:00:00"/>
    <s v="Chilena"/>
    <s v="M"/>
    <s v="Soltero"/>
    <m/>
    <x v="21"/>
    <s v="1"/>
    <s v="Gerencia General"/>
    <s v="1.3"/>
    <s v="Gerencia Comercial"/>
    <d v="2024-03-18T00:00:00"/>
    <m/>
    <s v=" 2 Años 16 Días"/>
    <s v="No"/>
    <s v="$ 811.181"/>
    <s v="$ 0"/>
    <s v="$ 0"/>
    <s v="Habitat"/>
    <m/>
    <s v="Fonasa"/>
    <s v="Sin Información"/>
    <m/>
    <m/>
    <s v="Metropolitana"/>
    <s v="Santiago"/>
    <s v="Quinta Normal"/>
    <s v="Rivas Vicuña"/>
    <s v="# 1214"/>
    <s v="Torre Teno 1205"/>
    <s v="979943377"/>
    <s v="990993644"/>
    <s v="leonardo.maldonado@tooltek.cl"/>
    <s v="leonardo.maldonado.1993@gmail.com"/>
    <s v="18330930-7"/>
    <s v="%"/>
    <n v="7.0000000000000007E-2"/>
    <s v="Transferencia"/>
    <s v="Cuenta Vista"/>
    <s v="mensual"/>
    <s v="BANCOESTADO"/>
    <s v="18330930"/>
    <s v="N"/>
    <s v="ninguna"/>
    <m/>
    <m/>
    <m/>
    <s v="Indefinido"/>
    <m/>
    <m/>
    <m/>
    <m/>
    <s v="Gerencia General"/>
    <x v="1"/>
    <s v="$ "/>
    <m/>
    <s v="Lunes a Viernes"/>
    <m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m/>
    <m/>
    <m/>
    <m/>
    <m/>
    <m/>
  </r>
  <r>
    <s v="12191712-2"/>
    <s v="Miguel Angel Duran Sanhueza"/>
    <s v="Miguel Angel"/>
    <s v="Duran"/>
    <s v="Sanhueza"/>
    <s v="Tooltek SPA."/>
    <d v="1972-03-16T00:00:00"/>
    <s v="Chilena"/>
    <s v="M"/>
    <s v="Casado"/>
    <m/>
    <x v="8"/>
    <s v="1"/>
    <s v="Gerencia General"/>
    <s v="1.3"/>
    <s v="Gerencia Comercial"/>
    <d v="2016-08-01T00:00:00"/>
    <m/>
    <s v=" 9 Años 8 Meses 2 Días"/>
    <s v="No"/>
    <s v="$ 700.000"/>
    <s v="$ 0"/>
    <s v="$ 0"/>
    <s v="Cuprum"/>
    <m/>
    <s v="Banmedica"/>
    <s v="Sin Información"/>
    <m/>
    <m/>
    <s v="de los Lagos"/>
    <s v="Puerto Montt"/>
    <s v="Puerto Montt"/>
    <s v="Parcelas Colina Vera"/>
    <s v="40"/>
    <m/>
    <s v="952086212"/>
    <s v="miguel.duran@tooltek.cl"/>
    <s v="miguel.duran@tooltek.cl"/>
    <s v="miguelangelavara@gmail.com"/>
    <s v="12191712-2"/>
    <s v="UF"/>
    <n v="14.304"/>
    <s v="Transferencia"/>
    <s v="Cuenta Corriente"/>
    <s v="mensual"/>
    <s v="BANCOESTADO"/>
    <s v="83100008630"/>
    <s v="N"/>
    <s v="ninguna"/>
    <m/>
    <m/>
    <m/>
    <s v="Indefinido"/>
    <m/>
    <m/>
    <m/>
    <m/>
    <s v="Gerencia General"/>
    <x v="1"/>
    <s v="$ "/>
    <m/>
    <s v="Lunes a Viernes"/>
    <m/>
    <n v="5"/>
    <n v="44"/>
    <s v="Casa Matriz"/>
    <m/>
    <s v="Erich David Olate"/>
    <s v="14257849-2"/>
    <s v="no"/>
    <s v="Si"/>
    <s v="Parcialmente"/>
    <m/>
    <m/>
    <m/>
    <m/>
    <m/>
    <m/>
    <m/>
    <m/>
    <m/>
    <m/>
    <m/>
    <m/>
    <m/>
    <m/>
    <m/>
    <m/>
    <m/>
    <m/>
  </r>
  <r>
    <s v="14369887-4"/>
    <s v="Nicsa Ana Molina Fernandez"/>
    <s v="Nicsa Ana"/>
    <s v="Molina"/>
    <s v="Fernandez"/>
    <s v="Tooltek SPA."/>
    <d v="1976-06-30T00:00:00"/>
    <s v="Chilena"/>
    <s v="F"/>
    <s v="Soltero"/>
    <m/>
    <x v="22"/>
    <s v="1"/>
    <s v="Gerencia General"/>
    <s v="1.1"/>
    <s v="Gerencia de Operaciones"/>
    <d v="2025-07-14T00:00:00"/>
    <m/>
    <s v=" 8 Meses 20 Días"/>
    <s v="No"/>
    <s v="$ 820.000"/>
    <s v="$ 0"/>
    <s v="$ 50.000"/>
    <s v="Capital"/>
    <m/>
    <s v="Fonasa"/>
    <s v="Sin Información"/>
    <m/>
    <m/>
    <s v="Metropolitana"/>
    <s v="Santiago"/>
    <s v="Maipú"/>
    <s v="German Garces  2946"/>
    <m/>
    <m/>
    <s v="946185588"/>
    <m/>
    <m/>
    <s v="nicsa.molina@gmail.com"/>
    <s v="14369887-4"/>
    <s v="%"/>
    <n v="7.0000000000000007E-2"/>
    <s v="Transferencia"/>
    <s v="Cuenta Corriente"/>
    <s v="mensual"/>
    <s v="SANTANDER"/>
    <s v="66869563"/>
    <s v="N"/>
    <s v="ninguna"/>
    <m/>
    <m/>
    <m/>
    <s v="Indefinido"/>
    <m/>
    <m/>
    <m/>
    <m/>
    <s v="Gerencia General"/>
    <x v="0"/>
    <s v="$ "/>
    <m/>
    <s v="Lunes a Viernes"/>
    <s v="Jornada semanal ordinaria"/>
    <n v="5"/>
    <n v="44"/>
    <s v="Casa Matriz"/>
    <m/>
    <s v="Eric David Cisternas"/>
    <s v="10827215-5"/>
    <s v="no"/>
    <s v="Si"/>
    <s v="Si"/>
    <m/>
    <m/>
    <m/>
    <s v="Instalaciones del empleador"/>
    <m/>
    <m/>
    <m/>
    <m/>
    <m/>
    <m/>
    <m/>
    <m/>
    <s v="Lunes, Martes, Miercoles, Jueves, Viernes"/>
    <m/>
    <m/>
    <m/>
    <m/>
    <m/>
  </r>
  <r>
    <s v="12168317-2"/>
    <s v="Pablo César Castañeda Fuentes"/>
    <s v="Pablo César"/>
    <s v="Castañeda"/>
    <s v="Fuentes"/>
    <s v="Tooltek SPA."/>
    <d v="1975-05-21T00:00:00"/>
    <s v="Chilena"/>
    <s v="M"/>
    <s v="Divorciado"/>
    <m/>
    <x v="7"/>
    <s v="1"/>
    <s v="Gerencia General"/>
    <s v="1.3"/>
    <s v="Gerencia Comercial"/>
    <d v="2024-12-12T00:00:00"/>
    <m/>
    <s v=" 1 Años 3 Meses 22 Días"/>
    <s v="No"/>
    <s v="$ 1.000.000"/>
    <s v="$ 0"/>
    <s v="$ 0"/>
    <s v="Provida"/>
    <m/>
    <s v="Fonasa"/>
    <s v="Sin Información"/>
    <m/>
    <m/>
    <s v="Metropolitana"/>
    <s v="Santiago"/>
    <s v="Maipú"/>
    <s v="Las Gaviotas"/>
    <s v="812"/>
    <m/>
    <s v="+56937314943"/>
    <s v="pablo.castaneda@tooltek.cl"/>
    <m/>
    <s v="pablocastanedaimp@gmail.com"/>
    <s v="12168317-2"/>
    <s v="%"/>
    <n v="7.0000000000000007E-2"/>
    <s v="Transferencia"/>
    <s v="Cuenta Corriente"/>
    <s v="mensual"/>
    <s v="BANCO FALABELLA"/>
    <s v="19842688956"/>
    <s v="N"/>
    <s v="ninguna"/>
    <m/>
    <m/>
    <m/>
    <s v="Indefinido"/>
    <m/>
    <m/>
    <m/>
    <m/>
    <s v="Gerencia General"/>
    <x v="1"/>
    <s v="$ "/>
    <m/>
    <s v="Lunes a Viernes"/>
    <m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m/>
    <m/>
    <m/>
    <m/>
    <m/>
    <s v="si"/>
  </r>
  <r>
    <s v="13261307-9"/>
    <s v="Patricio Antonio Uribe Valdes"/>
    <s v="Patricio Antonio"/>
    <s v="Uribe"/>
    <s v="Valdes"/>
    <s v="Tooltek SPA."/>
    <d v="1977-06-23T00:00:00"/>
    <s v="Chilena"/>
    <s v="M"/>
    <s v="Divorciado"/>
    <m/>
    <x v="8"/>
    <s v="1"/>
    <s v="Gerencia General"/>
    <s v="1.3"/>
    <s v="Gerencia Comercial"/>
    <d v="2024-08-01T00:00:00"/>
    <m/>
    <s v=" 1 Años 8 Meses 2 Días"/>
    <s v="Si"/>
    <s v="$ 539.000"/>
    <s v="$ 0"/>
    <s v="$ 0"/>
    <s v="Habitat"/>
    <m/>
    <s v="Fonasa"/>
    <s v="Sin Información"/>
    <m/>
    <m/>
    <s v="Metropolitana"/>
    <s v="Santiago"/>
    <s v="Renca"/>
    <s v="José Santiago Aldunate"/>
    <s v="3298"/>
    <m/>
    <s v="944087721"/>
    <s v="957666249"/>
    <s v="patricio.uribe@tooltek.cl"/>
    <s v="patricio.uribe.valdes@hotmail.com"/>
    <s v="13261307-9"/>
    <s v="%"/>
    <n v="7.0000000000000007E-2"/>
    <s v="Transferencia"/>
    <s v="Cuenta Corriente"/>
    <s v="mensual"/>
    <s v="BANCOESTADO"/>
    <s v="13261307"/>
    <s v="N"/>
    <s v="ninguna"/>
    <m/>
    <m/>
    <m/>
    <s v="Indefinido"/>
    <m/>
    <m/>
    <m/>
    <m/>
    <s v="Gerencia General"/>
    <x v="1"/>
    <s v="$ "/>
    <m/>
    <s v="Lunes a Viernes"/>
    <m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m/>
    <m/>
    <m/>
    <m/>
    <m/>
    <m/>
  </r>
  <r>
    <s v="11336041-0"/>
    <s v="Patricio Lenin Gonzalez Araya"/>
    <s v="Patricio Lenin"/>
    <s v="Gonzalez"/>
    <s v="Araya"/>
    <s v="Tooltek SPA."/>
    <d v="1968-03-23T00:00:00"/>
    <s v="Chilena"/>
    <s v="M"/>
    <m/>
    <m/>
    <x v="8"/>
    <s v="1"/>
    <s v="Gerencia General"/>
    <s v="1.3"/>
    <s v="Gerencia Comercial"/>
    <d v="2025-03-03T00:00:00"/>
    <m/>
    <s v=" 1 Años 31 Días"/>
    <s v="No"/>
    <s v="$ 539.000"/>
    <s v="$ 0"/>
    <s v="$ 0"/>
    <s v="Capital"/>
    <m/>
    <s v="Fonasa"/>
    <s v="Sin Información"/>
    <m/>
    <m/>
    <s v="Metropolitana"/>
    <s v="Santiago"/>
    <s v="Puente Alto"/>
    <s v="pasaje pisahue viejo 0855"/>
    <m/>
    <m/>
    <s v="958168109"/>
    <s v="990916809"/>
    <s v="patricio.gonzalez@tooltek.cl"/>
    <s v="patriciogonzalez.araya@gmail.com"/>
    <s v="11.336.041-0"/>
    <s v="%"/>
    <n v="7.0000000000000007E-2"/>
    <s v="Transferencia"/>
    <s v="Cuenta Corriente"/>
    <s v="mensual"/>
    <s v="BCI"/>
    <s v="63362236"/>
    <s v="N"/>
    <s v="ninguna"/>
    <m/>
    <m/>
    <m/>
    <s v="Indefinido"/>
    <m/>
    <m/>
    <m/>
    <m/>
    <s v="Gerencia General"/>
    <x v="1"/>
    <s v="$ "/>
    <m/>
    <s v="Artículo 22"/>
    <m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m/>
    <m/>
    <m/>
    <m/>
    <m/>
    <m/>
  </r>
  <r>
    <s v="17040593-5"/>
    <s v="Ricardo Ignacio Bravo Tapia"/>
    <s v="Ricardo Ignacio"/>
    <s v="Bravo"/>
    <s v="Tapia"/>
    <s v="Tooltek SPA."/>
    <d v="1988-11-01T00:00:00"/>
    <s v="Chilena"/>
    <s v="M"/>
    <s v="Soltero"/>
    <m/>
    <x v="8"/>
    <s v="1"/>
    <s v="Gerencia General"/>
    <s v="1.3"/>
    <s v="Gerencia Comercial"/>
    <d v="2025-11-03T00:00:00"/>
    <s v="05-11-2025"/>
    <s v=" 4 Meses 30 Días"/>
    <s v="No"/>
    <s v="$ 539.000"/>
    <s v="$ 0"/>
    <s v="$ 0"/>
    <s v="Provida"/>
    <m/>
    <s v="Fonasa"/>
    <s v="Sin Información"/>
    <m/>
    <m/>
    <s v="del Maule"/>
    <s v="Talca"/>
    <s v="Maule"/>
    <s v="Camino publico los patos 1945"/>
    <m/>
    <m/>
    <s v="56997144519"/>
    <m/>
    <m/>
    <s v="ignaciotapia01@gmail.com"/>
    <s v="17040593-5"/>
    <s v="%"/>
    <n v="7.0000000000000007E-2"/>
    <s v="Transferencia"/>
    <s v="Cuenta Corriente"/>
    <s v="mensual"/>
    <s v="SANTANDER"/>
    <s v="007064816300"/>
    <s v="N"/>
    <s v="ninguna"/>
    <m/>
    <m/>
    <d v="2026-04-30T00:00:00"/>
    <s v="Plazo Fijo"/>
    <m/>
    <m/>
    <m/>
    <m/>
    <s v="Gerencia General"/>
    <x v="1"/>
    <s v="$ "/>
    <m/>
    <s v="Lunes a Viernes"/>
    <s v="Jornada semanal ordinaria"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s v="Lunes, Martes, Miercoles, Jueves, Viernes"/>
    <m/>
    <m/>
    <m/>
    <m/>
    <m/>
  </r>
  <r>
    <s v="25647191-4"/>
    <s v="Ricardo Jose Navarro Almarza"/>
    <s v="Ricardo Jose"/>
    <s v="Navarro"/>
    <s v="Almarza"/>
    <s v="Tooltek SPA."/>
    <d v="1984-10-26T00:00:00"/>
    <s v="Venezolana"/>
    <s v="M"/>
    <s v="Casado"/>
    <m/>
    <x v="8"/>
    <s v="1"/>
    <s v="Gerencia General"/>
    <s v="1.3"/>
    <s v="Gerencia Comercial"/>
    <d v="2023-10-23T00:00:00"/>
    <m/>
    <s v=" 2 Años 5 Meses 11 Días"/>
    <s v="Si"/>
    <s v="$ 539.000"/>
    <s v="$ 0"/>
    <s v="$ 0"/>
    <s v="Planvital"/>
    <m/>
    <s v="Banmedica"/>
    <s v="Sin Información"/>
    <m/>
    <m/>
    <s v="Valparaiso"/>
    <s v="Valparaiso"/>
    <s v="Quilpué"/>
    <s v="Alto Maquehue"/>
    <s v="3194"/>
    <s v="304"/>
    <s v="948739620"/>
    <s v="990916756"/>
    <s v="Ricardo.Navarro@tooltek.cl"/>
    <s v="Ricardo.Navarro.Almarza@Gmail.com"/>
    <s v="25647191-4"/>
    <s v="UF"/>
    <n v="4.7779999999999996"/>
    <s v="Transferencia"/>
    <s v="Cuenta Corriente"/>
    <s v="mensual"/>
    <s v="SANTANDER"/>
    <s v="000098733639"/>
    <s v="N"/>
    <s v="ninguna"/>
    <m/>
    <m/>
    <m/>
    <s v="Indefinido"/>
    <m/>
    <m/>
    <m/>
    <m/>
    <s v="Gerencia General"/>
    <x v="1"/>
    <s v="$ "/>
    <m/>
    <s v="Lunes a Viernes"/>
    <m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m/>
    <m/>
    <m/>
    <m/>
    <m/>
    <m/>
  </r>
  <r>
    <s v="9906311-4"/>
    <s v="Ricardo Juan Thompson Ferrada"/>
    <s v="Ricardo Juan"/>
    <s v="Thompson"/>
    <s v="Ferrada"/>
    <s v="Tooltek SPA."/>
    <d v="1967-05-06T00:00:00"/>
    <s v="Chilena"/>
    <s v="M"/>
    <s v="Casado"/>
    <m/>
    <x v="8"/>
    <s v="1"/>
    <s v="Gerencia General"/>
    <s v="1.3"/>
    <s v="Gerencia Comercial"/>
    <d v="2025-10-01T00:00:00"/>
    <s v="01-10-2025"/>
    <s v=" 6 Meses 2 Días"/>
    <s v="Si"/>
    <s v="$ 539.000"/>
    <s v="$ 0"/>
    <s v="$ 0"/>
    <s v="Modelo"/>
    <m/>
    <s v="Fonasa"/>
    <s v="Sin Información"/>
    <m/>
    <m/>
    <s v="Coquimbo"/>
    <s v="Coquimbo"/>
    <s v="La Serena"/>
    <s v="Pasaje Pacarina 1722"/>
    <m/>
    <m/>
    <s v="56977368374"/>
    <m/>
    <m/>
    <s v="ricardo.thompson.f@gmail.com"/>
    <s v="9906311-4"/>
    <s v="%"/>
    <n v="7.0000000000000007E-2"/>
    <s v="Transferencia"/>
    <s v="Cuenta Vista"/>
    <s v="mensual"/>
    <s v="BANCO FALABELLA"/>
    <s v="53710025702"/>
    <s v="N"/>
    <s v="ninguna"/>
    <m/>
    <m/>
    <m/>
    <s v="Indefinido"/>
    <m/>
    <m/>
    <m/>
    <m/>
    <s v="Gerencia General"/>
    <x v="1"/>
    <s v="$ "/>
    <m/>
    <s v="Lunes a Viernes"/>
    <s v="Jornada semanal ordinaria"/>
    <n v="5"/>
    <n v="42"/>
    <s v="Casa Matriz"/>
    <m/>
    <s v="Erich David Olate"/>
    <s v="14257849-2"/>
    <s v="no"/>
    <s v="Si"/>
    <s v="Si"/>
    <m/>
    <m/>
    <m/>
    <m/>
    <m/>
    <m/>
    <m/>
    <m/>
    <m/>
    <m/>
    <m/>
    <m/>
    <s v="Lunes, Martes, Miercoles, Jueves, Viernes"/>
    <m/>
    <m/>
    <m/>
    <m/>
    <m/>
  </r>
  <r>
    <s v="9400539-6"/>
    <s v="Roberto Antonio Riquelme Arce"/>
    <s v="Roberto Antonio"/>
    <s v="Riquelme"/>
    <s v="Arce"/>
    <s v="Tooltek SPA."/>
    <d v="1966-11-14T00:00:00"/>
    <s v="Chilena"/>
    <s v="M"/>
    <m/>
    <m/>
    <x v="0"/>
    <s v="1"/>
    <s v="Gerencia General"/>
    <s v="1.1"/>
    <s v="Gerencia de Operaciones"/>
    <d v="2021-08-23T00:00:00"/>
    <m/>
    <s v=" 4 Años 7 Meses 11 Días"/>
    <s v="No"/>
    <s v="$ 735.206"/>
    <s v="$ 0"/>
    <s v="$ 50.000"/>
    <s v="Capital"/>
    <m/>
    <s v="Fonasa"/>
    <s v="Sin Información"/>
    <m/>
    <m/>
    <s v="Metropolitana"/>
    <m/>
    <s v="San Ramón"/>
    <s v="Anibal Zañartu"/>
    <s v="8016"/>
    <m/>
    <s v="976625218"/>
    <m/>
    <s v="Roberto.riquelme.arce@tooltek.cl"/>
    <s v="robertoriquelmearce@hotmail.com"/>
    <s v="9400539-6"/>
    <s v="%"/>
    <n v="7.0000000000000007E-2"/>
    <s v="Transferencia"/>
    <s v="Cuenta Corriente"/>
    <s v="mensual"/>
    <s v="SANTANDER"/>
    <s v="79475041"/>
    <s v="N"/>
    <s v="ninguna"/>
    <m/>
    <m/>
    <m/>
    <s v="Indefinido"/>
    <m/>
    <m/>
    <m/>
    <s v="C"/>
    <s v="Gerencia General"/>
    <x v="0"/>
    <s v="$ "/>
    <m/>
    <s v="Lunes a Viernes"/>
    <m/>
    <n v="5"/>
    <n v="44"/>
    <s v="Casa Matriz"/>
    <m/>
    <s v="Roberto Felipe Nicolas Riquelme"/>
    <s v="19223334-8"/>
    <s v="no"/>
    <s v="Si"/>
    <s v="Si"/>
    <m/>
    <m/>
    <m/>
    <m/>
    <m/>
    <m/>
    <m/>
    <m/>
    <m/>
    <m/>
    <m/>
    <m/>
    <m/>
    <m/>
    <m/>
    <m/>
    <m/>
    <m/>
  </r>
  <r>
    <s v="19223334-8"/>
    <s v="Roberto Felipe Nicolas Riquelme Reyes"/>
    <s v="Roberto Felipe Nicolas"/>
    <s v="Riquelme"/>
    <s v="Reyes"/>
    <s v="Tooltek SPA."/>
    <d v="1996-05-21T00:00:00"/>
    <s v="Chilena"/>
    <s v="M"/>
    <m/>
    <m/>
    <x v="23"/>
    <s v="1"/>
    <s v="Gerencia General"/>
    <s v="1.1"/>
    <s v="Gerencia de Operaciones"/>
    <d v="2020-11-18T00:00:00"/>
    <m/>
    <s v=" 5 Años 4 Meses 15 Días"/>
    <s v="No"/>
    <s v="$ 1.056.331"/>
    <s v="$ 0"/>
    <s v="$ 50.000"/>
    <s v="Modelo"/>
    <m/>
    <s v="Fonasa"/>
    <s v="Sin Información"/>
    <m/>
    <m/>
    <s v="Metropolitana"/>
    <s v="Santiago"/>
    <s v="San Ramón"/>
    <s v="Anibal Zañartu"/>
    <s v="8016"/>
    <m/>
    <s v="966299944"/>
    <m/>
    <s v="roberto.riquelme@tooltek.cl"/>
    <s v="robertoriquelmereyes@gmail.com"/>
    <s v="19223334-8"/>
    <s v="%"/>
    <n v="7.0000000000000007E-2"/>
    <s v="Transferencia"/>
    <s v="Cuenta Corriente"/>
    <s v="mensual"/>
    <s v="SANTANDER"/>
    <s v="79141798"/>
    <s v="N"/>
    <s v="ninguna"/>
    <m/>
    <m/>
    <m/>
    <s v="Indefinido"/>
    <m/>
    <m/>
    <m/>
    <m/>
    <s v="Gerencia General"/>
    <x v="0"/>
    <s v="$ "/>
    <m/>
    <s v="Lunes a Viernes"/>
    <m/>
    <n v="5"/>
    <n v="44"/>
    <s v="Casa Matriz"/>
    <m/>
    <s v="Eric David Cisternas"/>
    <s v="10827215-5"/>
    <s v="no"/>
    <s v="Si"/>
    <s v="Si"/>
    <m/>
    <m/>
    <m/>
    <m/>
    <m/>
    <m/>
    <m/>
    <m/>
    <m/>
    <m/>
    <m/>
    <m/>
    <m/>
    <m/>
    <m/>
    <m/>
    <m/>
    <m/>
  </r>
  <r>
    <s v="18052771-0"/>
    <s v="Rodrigo Adrián Munita Fuentes"/>
    <s v="Rodrigo Adrián"/>
    <s v="Munita"/>
    <s v="Fuentes"/>
    <s v="Tooltek SPA."/>
    <d v="1992-04-08T00:00:00"/>
    <s v="Chilena"/>
    <s v="M"/>
    <s v="Soltero"/>
    <m/>
    <x v="0"/>
    <s v="1"/>
    <s v="Gerencia General"/>
    <s v="1.1"/>
    <s v="Gerencia de Operaciones"/>
    <d v="2025-06-08T00:00:00"/>
    <m/>
    <s v=" 9 Meses 25 Días"/>
    <s v="No"/>
    <s v="$ 735.206"/>
    <s v="$ 0"/>
    <s v="$ 50.000"/>
    <s v="Habitat"/>
    <m/>
    <s v="Fonasa"/>
    <s v="Sin Información"/>
    <m/>
    <m/>
    <s v="Metropolitana"/>
    <s v="Santiago"/>
    <s v="Maipú"/>
    <s v="Lago Maihue 4528"/>
    <m/>
    <m/>
    <s v="988441351"/>
    <m/>
    <m/>
    <s v="rmunitaf@gmail.com"/>
    <s v="18052771-0"/>
    <s v="%"/>
    <n v="7.0000000000000007E-2"/>
    <s v="Transferencia"/>
    <s v="Cuenta Vista"/>
    <s v="mensual"/>
    <s v="BANCOESTADO"/>
    <s v="18052771"/>
    <s v="N"/>
    <s v="ninguna"/>
    <m/>
    <m/>
    <m/>
    <s v="Indefinido"/>
    <m/>
    <m/>
    <m/>
    <m/>
    <s v="Gerencia General"/>
    <x v="0"/>
    <s v="$ "/>
    <m/>
    <s v="Lunes a Viernes"/>
    <s v="Jornada semanal ordinaria"/>
    <n v="5"/>
    <n v="44"/>
    <s v="Casa Matriz"/>
    <m/>
    <s v="Roberto Felipe Nicolas Riquelme"/>
    <s v="19223334-8"/>
    <s v="no"/>
    <s v="Si"/>
    <s v="Si"/>
    <m/>
    <m/>
    <m/>
    <m/>
    <m/>
    <m/>
    <m/>
    <m/>
    <m/>
    <m/>
    <m/>
    <m/>
    <s v="Lunes, Martes, Miercoles, Jueves, Viernes"/>
    <m/>
    <m/>
    <m/>
    <m/>
    <m/>
  </r>
  <r>
    <s v="9095560-8"/>
    <s v="Sandra Doris Viertel Peschka"/>
    <s v="Sandra Doris"/>
    <s v="Viertel"/>
    <s v="Peschka"/>
    <s v="Tooltek SPA."/>
    <d v="1962-11-06T00:00:00"/>
    <s v="Chilena"/>
    <s v="F"/>
    <s v="Casado"/>
    <m/>
    <x v="8"/>
    <s v="1"/>
    <s v="Gerencia General"/>
    <s v="1.3"/>
    <s v="Gerencia Comercial"/>
    <d v="2017-02-20T00:00:00"/>
    <m/>
    <s v=" 9 Años 1 Meses 11 Días"/>
    <s v="No"/>
    <s v="$ 539.000"/>
    <s v="$ 0"/>
    <s v="$ 0"/>
    <s v="Habitat"/>
    <m/>
    <s v="Banmedica"/>
    <s v="Sin Información"/>
    <m/>
    <m/>
    <s v="Metropolitana"/>
    <m/>
    <s v="Colina"/>
    <s v="Av Americo Vespucio"/>
    <s v="2501"/>
    <s v="128"/>
    <s v="981369527"/>
    <s v="sandra.viertel@tooltek.cl"/>
    <s v="Sandra.viertel@tooltek.cl"/>
    <s v="sandra.viertel@gmail.com"/>
    <s v="9095560-8"/>
    <s v="UF"/>
    <n v="4.5419999999999998"/>
    <s v="Transferencia"/>
    <s v="Cuenta Corriente"/>
    <s v="mensual"/>
    <s v="ITAÚ"/>
    <s v="215360696"/>
    <s v="C"/>
    <s v="ninguna"/>
    <m/>
    <m/>
    <m/>
    <s v="Indefinido"/>
    <m/>
    <m/>
    <m/>
    <m/>
    <s v="Gerencia General"/>
    <x v="1"/>
    <s v="$ "/>
    <m/>
    <s v="Lunes a Viernes"/>
    <m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m/>
    <m/>
    <m/>
    <m/>
    <m/>
    <m/>
  </r>
  <r>
    <s v="18666862-6"/>
    <s v="Sebastián Alfonso Faure Solari"/>
    <s v="Sebastián Alfonso"/>
    <s v="Faure"/>
    <s v="Solari"/>
    <s v="Tooltek SPA."/>
    <d v="1994-01-30T00:00:00"/>
    <s v="Chilena"/>
    <s v="M"/>
    <s v="Soltero"/>
    <m/>
    <x v="21"/>
    <s v="1"/>
    <s v="Gerencia General"/>
    <s v="1.3"/>
    <s v="Gerencia Comercial"/>
    <d v="2024-03-18T00:00:00"/>
    <m/>
    <s v=" 2 Años 16 Días"/>
    <s v="No"/>
    <s v="$ 811.181"/>
    <s v="$ 0"/>
    <s v="$ 0"/>
    <s v="Modelo"/>
    <m/>
    <s v="Fonasa"/>
    <s v="Sin Información"/>
    <m/>
    <m/>
    <s v="Metropolitana"/>
    <s v="Santiago"/>
    <s v="Maipú"/>
    <s v="Las Facultades"/>
    <s v="1720"/>
    <m/>
    <s v="990993614"/>
    <s v="990993614"/>
    <s v="sebastian.faure@tooltek.cl"/>
    <s v="seba.a.faure.s@gmail.com"/>
    <s v="18666862-6"/>
    <s v="%"/>
    <n v="7.0000000000000007E-2"/>
    <s v="Transferencia"/>
    <s v="Cuenta Corriente"/>
    <s v="mensual"/>
    <s v="SANTANDER"/>
    <s v="80102615"/>
    <s v="N"/>
    <s v="ninguna"/>
    <m/>
    <m/>
    <m/>
    <s v="Indefinido"/>
    <s v="9"/>
    <m/>
    <m/>
    <m/>
    <s v="Gerencia General"/>
    <x v="1"/>
    <s v="$ "/>
    <m/>
    <s v="Lunes a Viernes"/>
    <m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m/>
    <m/>
    <m/>
    <m/>
    <m/>
    <m/>
  </r>
  <r>
    <s v="20790096-6"/>
    <s v="Sebastian Ignacio Esteban Riquelme Reyes"/>
    <s v="Sebastian Ignacio Esteban"/>
    <s v="Riquelme"/>
    <s v="Reyes"/>
    <s v="Tooltek SPA."/>
    <d v="2001-09-17T00:00:00"/>
    <s v="Chilena"/>
    <s v="M"/>
    <m/>
    <m/>
    <x v="24"/>
    <s v="1"/>
    <s v="Gerencia General"/>
    <s v="1.1"/>
    <s v="Gerencia de Operaciones"/>
    <d v="2021-02-15T00:00:00"/>
    <m/>
    <s v=" 5 Años 1 Meses 16 Días"/>
    <s v="No"/>
    <s v="$ 861.967"/>
    <s v="$ 0"/>
    <s v="$ 50.000"/>
    <s v="Uno"/>
    <m/>
    <s v="Fonasa"/>
    <s v="Sin Información"/>
    <m/>
    <m/>
    <s v="Metropolitana"/>
    <s v="Santiago"/>
    <s v="San Ramón"/>
    <s v="Anibal Zañartu"/>
    <s v="8016"/>
    <m/>
    <s v="982463761"/>
    <m/>
    <s v="sebastian.riquelme@tooltek.cl"/>
    <s v="sebastianriquelmereyes17@gmail.com"/>
    <s v="20790096-6"/>
    <s v="%"/>
    <n v="7.0000000000000007E-2"/>
    <s v="Transferencia"/>
    <s v="Cuenta Corriente"/>
    <s v="mensual"/>
    <s v="BANCO FALABELLA"/>
    <s v="19995713374"/>
    <s v="N"/>
    <s v="ninguna"/>
    <m/>
    <m/>
    <m/>
    <s v="Indefinido"/>
    <m/>
    <m/>
    <m/>
    <m/>
    <s v="Gerencia General"/>
    <x v="0"/>
    <s v="$ "/>
    <m/>
    <s v="Lunes a Viernes"/>
    <m/>
    <n v="5"/>
    <n v="44"/>
    <s v="Casa Matriz"/>
    <m/>
    <s v="Roberto Felipe Nicolas Riquelme"/>
    <s v="19223334-8"/>
    <s v="no"/>
    <s v="Si"/>
    <s v="Si"/>
    <m/>
    <m/>
    <m/>
    <m/>
    <m/>
    <m/>
    <m/>
    <m/>
    <m/>
    <m/>
    <m/>
    <m/>
    <m/>
    <m/>
    <m/>
    <m/>
    <m/>
    <m/>
  </r>
  <r>
    <s v="14128464-9"/>
    <s v="Solange Del Carmen Lobos De la fuente"/>
    <s v="Solange Del Carmen"/>
    <s v="Lobos"/>
    <s v="De la fuente"/>
    <s v="Tooltek SPA."/>
    <d v="1981-08-30T00:00:00"/>
    <s v="Chilena"/>
    <s v="F"/>
    <s v="Divorciado"/>
    <m/>
    <x v="8"/>
    <s v="1"/>
    <s v="Gerencia General"/>
    <s v="1.3"/>
    <s v="Gerencia Comercial"/>
    <d v="2023-07-12T00:00:00"/>
    <m/>
    <s v=" 2 Años 8 Meses 22 Días"/>
    <s v="No"/>
    <s v="$ 539.000"/>
    <s v="$ 0"/>
    <s v="$ 0"/>
    <s v="Cuprum"/>
    <m/>
    <s v="Fonasa"/>
    <s v="Sin Información"/>
    <m/>
    <m/>
    <s v="Metropolitana"/>
    <s v="Santiago"/>
    <s v="Maipú"/>
    <s v="Litueche"/>
    <s v="0868"/>
    <m/>
    <s v="987184761"/>
    <s v="934587924"/>
    <s v="solange.lobos@tooltek.cl"/>
    <s v="solange.lobos81@gmail.com"/>
    <s v="14128464-9"/>
    <s v="%"/>
    <n v="7.0000000000000007E-2"/>
    <s v="Transferencia"/>
    <s v="Cuenta Corriente"/>
    <s v="mensual"/>
    <s v="BANCO FALABELLA"/>
    <s v="19821292620"/>
    <s v="N"/>
    <s v="ninguna"/>
    <m/>
    <m/>
    <m/>
    <s v="Indefinido"/>
    <m/>
    <m/>
    <m/>
    <m/>
    <s v="Gerencia General"/>
    <x v="1"/>
    <s v="$ "/>
    <m/>
    <s v="Lunes a Viernes"/>
    <m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m/>
    <m/>
    <m/>
    <m/>
    <m/>
    <m/>
  </r>
  <r>
    <s v="15689934-8"/>
    <s v="Teresa Leonor Arredondo Plaza"/>
    <s v="Teresa Leonor"/>
    <s v="Arredondo"/>
    <s v="Plaza"/>
    <s v="Tooltek SPA."/>
    <d v="1983-03-30T00:00:00"/>
    <s v="Chilena"/>
    <s v="F"/>
    <s v="Soltero"/>
    <m/>
    <x v="8"/>
    <s v="1"/>
    <s v="Gerencia General"/>
    <s v="1.3"/>
    <s v="Gerencia Comercial"/>
    <d v="2023-05-02T00:00:00"/>
    <m/>
    <s v=" 2 Años 11 Meses 1 Días"/>
    <s v="No"/>
    <s v="$ 539.000"/>
    <s v="$ 0"/>
    <s v="$ 0"/>
    <s v="Modelo"/>
    <m/>
    <s v="Colmena"/>
    <s v="Sin Información"/>
    <m/>
    <m/>
    <s v="Antofagasta"/>
    <s v="Antofagasta"/>
    <s v="Antofagasta"/>
    <s v="Talcahuano"/>
    <s v="3237"/>
    <m/>
    <s v="984318256"/>
    <m/>
    <s v="teresa.Arredondo@tooltek.cl"/>
    <s v="zn.teresa.arredondo@gmail.com"/>
    <s v="15689934-8"/>
    <s v="UF"/>
    <n v="3.9"/>
    <s v="Transferencia"/>
    <s v="Cuenta Corriente"/>
    <s v="mensual"/>
    <s v="SANTANDER"/>
    <s v="78371676"/>
    <s v="N"/>
    <s v="ninguna"/>
    <m/>
    <m/>
    <m/>
    <s v="Indefinido"/>
    <m/>
    <m/>
    <m/>
    <m/>
    <s v="Gerencia General"/>
    <x v="1"/>
    <s v="$ "/>
    <m/>
    <s v="Lunes a Viernes"/>
    <m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m/>
    <m/>
    <m/>
    <m/>
    <m/>
    <m/>
  </r>
  <r>
    <s v="14171520-8"/>
    <s v="Viviana Lucia De Lourdes Rojas Trejo"/>
    <s v="Viviana Lucia De Lourdes"/>
    <s v="Rojas"/>
    <s v="Trejo"/>
    <s v="Tooltek SPA."/>
    <d v="1981-02-11T00:00:00"/>
    <s v="Chilena"/>
    <s v="F"/>
    <s v="Soltero"/>
    <m/>
    <x v="12"/>
    <s v="1"/>
    <s v="Gerencia General"/>
    <s v="1.3"/>
    <s v="Gerencia Comercial"/>
    <d v="2025-11-20T00:00:00"/>
    <m/>
    <s v=" 4 Meses 13 Días"/>
    <s v="Si"/>
    <s v="$ 630.000"/>
    <s v="$ 0"/>
    <s v="$ 50.000"/>
    <s v="Modelo"/>
    <m/>
    <s v="Fonasa"/>
    <s v="Sin Información"/>
    <m/>
    <m/>
    <s v="Metropolitana"/>
    <s v="Santiago"/>
    <s v="La Cisterna"/>
    <s v="Avenida Lo espejo 0375"/>
    <m/>
    <m/>
    <s v="56971324433"/>
    <m/>
    <m/>
    <s v="vlrojastvlrojast@gmail.com"/>
    <s v="14.171.520-8"/>
    <s v="%"/>
    <n v="7.0000000000000007E-2"/>
    <s v="Transferencia"/>
    <s v="Cuenta Vista"/>
    <s v="mensual"/>
    <s v="SANTANDER"/>
    <s v="062192855484"/>
    <s v="N"/>
    <s v="ninguna"/>
    <m/>
    <m/>
    <d v="2026-05-31T00:00:00"/>
    <s v="Plazo Fijo"/>
    <m/>
    <m/>
    <m/>
    <m/>
    <s v="Gerencia General"/>
    <x v="1"/>
    <s v="$ "/>
    <m/>
    <s v="Lunes a Viernes"/>
    <s v="Jornada semanal ordinaria"/>
    <n v="5"/>
    <n v="44"/>
    <s v="Casa Matriz"/>
    <m/>
    <s v="Erich David Olate"/>
    <s v="14257849-2"/>
    <s v="no"/>
    <s v="Si"/>
    <s v="Si"/>
    <m/>
    <m/>
    <m/>
    <m/>
    <m/>
    <m/>
    <m/>
    <m/>
    <m/>
    <m/>
    <m/>
    <m/>
    <s v="Lunes, Martes, Miercoles, Jueves, Viernes"/>
    <m/>
    <m/>
    <m/>
    <m/>
    <m/>
  </r>
  <r>
    <m/>
    <m/>
    <m/>
    <m/>
    <m/>
    <m/>
    <m/>
    <m/>
    <m/>
    <m/>
    <m/>
    <x v="2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E46941-966E-43E0-869F-2DA0B8CA0F8F}" name="TablaDinámica1" cacheId="26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4" firstHeaderRow="1" firstDataRow="1" firstDataCol="1"/>
  <pivotFields count="90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9">
        <item x="3"/>
        <item m="1" x="26"/>
        <item x="8"/>
        <item x="9"/>
        <item x="18"/>
        <item x="22"/>
        <item x="2"/>
        <item x="0"/>
        <item x="17"/>
        <item x="19"/>
        <item x="12"/>
        <item x="7"/>
        <item x="15"/>
        <item x="14"/>
        <item x="24"/>
        <item m="1" x="27"/>
        <item x="1"/>
        <item x="11"/>
        <item x="20"/>
        <item x="10"/>
        <item x="6"/>
        <item x="23"/>
        <item x="13"/>
        <item x="21"/>
        <item x="5"/>
        <item x="25"/>
        <item x="1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58"/>
    <field x="11"/>
  </rowFields>
  <rowItems count="31">
    <i>
      <x/>
    </i>
    <i r="1">
      <x v="2"/>
    </i>
    <i r="1">
      <x v="9"/>
    </i>
    <i r="1">
      <x v="10"/>
    </i>
    <i r="1">
      <x v="11"/>
    </i>
    <i r="1">
      <x v="16"/>
    </i>
    <i r="1">
      <x v="17"/>
    </i>
    <i r="1">
      <x v="22"/>
    </i>
    <i r="1">
      <x v="23"/>
    </i>
    <i r="1">
      <x v="27"/>
    </i>
    <i>
      <x v="1"/>
    </i>
    <i r="1">
      <x/>
    </i>
    <i r="1">
      <x v="3"/>
    </i>
    <i r="1">
      <x v="6"/>
    </i>
    <i r="1">
      <x v="8"/>
    </i>
    <i r="1">
      <x v="13"/>
    </i>
    <i r="1">
      <x v="18"/>
    </i>
    <i r="1">
      <x v="26"/>
    </i>
    <i>
      <x v="2"/>
    </i>
    <i r="1">
      <x v="4"/>
    </i>
    <i r="1">
      <x v="5"/>
    </i>
    <i r="1">
      <x v="7"/>
    </i>
    <i r="1">
      <x v="12"/>
    </i>
    <i r="1">
      <x v="14"/>
    </i>
    <i r="1">
      <x v="19"/>
    </i>
    <i r="1">
      <x v="21"/>
    </i>
    <i>
      <x v="3"/>
    </i>
    <i r="1">
      <x v="20"/>
    </i>
    <i r="1">
      <x v="24"/>
    </i>
    <i r="1">
      <x v="25"/>
    </i>
    <i t="grand">
      <x/>
    </i>
  </rowItems>
  <colItems count="1">
    <i/>
  </colItems>
  <dataFields count="1">
    <dataField name="Cuenta de Nombre Completo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54"/>
  <sheetViews>
    <sheetView tabSelected="1" topLeftCell="A40" workbookViewId="0">
      <selection activeCell="D60" sqref="D60"/>
    </sheetView>
  </sheetViews>
  <sheetFormatPr defaultColWidth="9.140625" defaultRowHeight="15"/>
  <cols>
    <col min="1" max="1" width="10.85546875" bestFit="1" customWidth="1"/>
    <col min="2" max="2" width="43" bestFit="1" customWidth="1"/>
    <col min="3" max="3" width="25.28515625" bestFit="1" customWidth="1"/>
    <col min="4" max="4" width="16.140625" bestFit="1" customWidth="1"/>
    <col min="5" max="5" width="16.85546875" bestFit="1" customWidth="1"/>
    <col min="6" max="6" width="12.140625" bestFit="1" customWidth="1"/>
    <col min="7" max="7" width="16.7109375" bestFit="1" customWidth="1"/>
    <col min="10" max="10" width="13.42578125" bestFit="1" customWidth="1"/>
  </cols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 t="s">
        <v>90</v>
      </c>
      <c r="B2" t="str">
        <f t="shared" ref="B2:B32" si="0">C2&amp;" "&amp;D2&amp;" "&amp;E2</f>
        <v>Adip Isrrael Gallegos Apablaza</v>
      </c>
      <c r="C2" s="7" t="s">
        <v>91</v>
      </c>
      <c r="D2" s="7" t="s">
        <v>92</v>
      </c>
      <c r="E2" s="7" t="s">
        <v>93</v>
      </c>
      <c r="F2" s="7" t="s">
        <v>94</v>
      </c>
      <c r="G2" s="8">
        <v>36178</v>
      </c>
      <c r="H2" t="s">
        <v>95</v>
      </c>
      <c r="I2" t="s">
        <v>96</v>
      </c>
      <c r="J2" t="s">
        <v>97</v>
      </c>
      <c r="L2" s="7" t="s">
        <v>98</v>
      </c>
      <c r="M2" t="s">
        <v>99</v>
      </c>
      <c r="N2" t="s">
        <v>100</v>
      </c>
      <c r="O2" t="s">
        <v>101</v>
      </c>
      <c r="P2" t="s">
        <v>102</v>
      </c>
      <c r="Q2" s="8">
        <v>45659</v>
      </c>
      <c r="R2" t="s">
        <v>103</v>
      </c>
      <c r="S2" t="s">
        <v>104</v>
      </c>
      <c r="T2" t="s">
        <v>105</v>
      </c>
      <c r="U2" s="9" t="s">
        <v>106</v>
      </c>
      <c r="V2" s="9" t="s">
        <v>107</v>
      </c>
      <c r="W2" s="9" t="s">
        <v>108</v>
      </c>
      <c r="X2" t="s">
        <v>109</v>
      </c>
      <c r="Z2" t="s">
        <v>110</v>
      </c>
      <c r="AA2" t="s">
        <v>111</v>
      </c>
      <c r="AD2" t="s">
        <v>112</v>
      </c>
      <c r="AE2" t="s">
        <v>113</v>
      </c>
      <c r="AF2" t="s">
        <v>114</v>
      </c>
      <c r="AG2" t="s">
        <v>115</v>
      </c>
      <c r="AJ2" t="s">
        <v>116</v>
      </c>
      <c r="AM2" t="s">
        <v>117</v>
      </c>
      <c r="AN2" t="s">
        <v>118</v>
      </c>
      <c r="AO2" t="s">
        <v>119</v>
      </c>
      <c r="AP2">
        <v>7.0000000000000007E-2</v>
      </c>
      <c r="AQ2" t="s">
        <v>120</v>
      </c>
      <c r="AR2" t="s">
        <v>121</v>
      </c>
      <c r="AS2" t="s">
        <v>122</v>
      </c>
      <c r="AT2" t="s">
        <v>123</v>
      </c>
      <c r="AU2" t="s">
        <v>124</v>
      </c>
      <c r="AV2" t="s">
        <v>125</v>
      </c>
      <c r="AW2" t="s">
        <v>126</v>
      </c>
      <c r="AZ2" s="8"/>
      <c r="BA2" t="s">
        <v>127</v>
      </c>
      <c r="BF2" t="s">
        <v>100</v>
      </c>
      <c r="BG2" t="s">
        <v>102</v>
      </c>
      <c r="BH2" s="9" t="s">
        <v>128</v>
      </c>
      <c r="BJ2" t="s">
        <v>129</v>
      </c>
      <c r="BK2" t="s">
        <v>130</v>
      </c>
      <c r="BL2">
        <v>5</v>
      </c>
      <c r="BM2">
        <v>44</v>
      </c>
      <c r="BN2" t="s">
        <v>131</v>
      </c>
      <c r="BP2" t="s">
        <v>132</v>
      </c>
      <c r="BQ2" s="7" t="s">
        <v>133</v>
      </c>
      <c r="BR2" t="s">
        <v>134</v>
      </c>
      <c r="BS2" t="s">
        <v>135</v>
      </c>
      <c r="BT2" t="s">
        <v>135</v>
      </c>
      <c r="BX2" t="s">
        <v>136</v>
      </c>
      <c r="CG2" t="s">
        <v>137</v>
      </c>
      <c r="CL2" t="s">
        <v>138</v>
      </c>
    </row>
    <row r="3" spans="1:90">
      <c r="A3" t="s">
        <v>139</v>
      </c>
      <c r="B3" t="str">
        <f t="shared" si="0"/>
        <v>Adolfo Esteban Vallejos Aguirre</v>
      </c>
      <c r="C3" s="7" t="s">
        <v>140</v>
      </c>
      <c r="D3" s="7" t="s">
        <v>141</v>
      </c>
      <c r="E3" s="7" t="s">
        <v>142</v>
      </c>
      <c r="F3" s="7" t="s">
        <v>94</v>
      </c>
      <c r="G3" s="8">
        <v>32832</v>
      </c>
      <c r="H3" t="s">
        <v>95</v>
      </c>
      <c r="I3" t="s">
        <v>96</v>
      </c>
      <c r="J3" t="s">
        <v>97</v>
      </c>
      <c r="L3" s="7" t="s">
        <v>143</v>
      </c>
      <c r="M3" t="s">
        <v>99</v>
      </c>
      <c r="N3" t="s">
        <v>100</v>
      </c>
      <c r="O3" t="s">
        <v>144</v>
      </c>
      <c r="P3" t="s">
        <v>145</v>
      </c>
      <c r="Q3" s="8">
        <v>45726</v>
      </c>
      <c r="S3" t="s">
        <v>146</v>
      </c>
      <c r="T3" t="s">
        <v>105</v>
      </c>
      <c r="U3" s="9" t="s">
        <v>147</v>
      </c>
      <c r="V3" s="9" t="s">
        <v>107</v>
      </c>
      <c r="W3" s="9" t="s">
        <v>107</v>
      </c>
      <c r="X3" t="s">
        <v>148</v>
      </c>
      <c r="Z3" t="s">
        <v>110</v>
      </c>
      <c r="AA3" t="s">
        <v>111</v>
      </c>
      <c r="AD3" t="s">
        <v>112</v>
      </c>
      <c r="AE3" t="s">
        <v>113</v>
      </c>
      <c r="AF3" t="s">
        <v>149</v>
      </c>
      <c r="AG3" t="s">
        <v>150</v>
      </c>
      <c r="AJ3" t="s">
        <v>151</v>
      </c>
      <c r="AM3" t="s">
        <v>152</v>
      </c>
      <c r="AN3" t="s">
        <v>153</v>
      </c>
      <c r="AO3" t="s">
        <v>119</v>
      </c>
      <c r="AP3">
        <v>7.0000000000000007E-2</v>
      </c>
      <c r="AQ3" t="s">
        <v>120</v>
      </c>
      <c r="AR3" t="s">
        <v>121</v>
      </c>
      <c r="AS3" t="s">
        <v>122</v>
      </c>
      <c r="AT3" t="s">
        <v>154</v>
      </c>
      <c r="AU3" t="s">
        <v>155</v>
      </c>
      <c r="AV3" t="s">
        <v>125</v>
      </c>
      <c r="AW3" t="s">
        <v>126</v>
      </c>
      <c r="AZ3" s="8"/>
      <c r="BA3" t="s">
        <v>127</v>
      </c>
      <c r="BF3" t="s">
        <v>100</v>
      </c>
      <c r="BG3" t="s">
        <v>145</v>
      </c>
      <c r="BH3" s="9" t="s">
        <v>128</v>
      </c>
      <c r="BJ3" t="s">
        <v>129</v>
      </c>
      <c r="BK3" t="s">
        <v>130</v>
      </c>
      <c r="BL3">
        <v>5</v>
      </c>
      <c r="BM3">
        <v>44</v>
      </c>
      <c r="BN3" t="s">
        <v>131</v>
      </c>
      <c r="BP3" t="s">
        <v>156</v>
      </c>
      <c r="BQ3" s="7" t="s">
        <v>157</v>
      </c>
      <c r="BR3" t="s">
        <v>134</v>
      </c>
      <c r="BS3" t="s">
        <v>135</v>
      </c>
      <c r="BT3" t="s">
        <v>135</v>
      </c>
      <c r="CG3" t="s">
        <v>137</v>
      </c>
    </row>
    <row r="4" spans="1:90">
      <c r="A4" t="s">
        <v>158</v>
      </c>
      <c r="B4" t="str">
        <f t="shared" si="0"/>
        <v>Ana Violeta Reyes Curiñanco</v>
      </c>
      <c r="C4" s="7" t="s">
        <v>159</v>
      </c>
      <c r="D4" s="7" t="s">
        <v>160</v>
      </c>
      <c r="E4" s="7" t="s">
        <v>161</v>
      </c>
      <c r="F4" s="7" t="s">
        <v>94</v>
      </c>
      <c r="G4" s="8">
        <v>27635</v>
      </c>
      <c r="H4" t="s">
        <v>95</v>
      </c>
      <c r="I4" t="s">
        <v>162</v>
      </c>
      <c r="J4" t="s">
        <v>97</v>
      </c>
      <c r="L4" s="7" t="s">
        <v>163</v>
      </c>
      <c r="M4" t="s">
        <v>99</v>
      </c>
      <c r="N4" t="s">
        <v>100</v>
      </c>
      <c r="O4" t="s">
        <v>164</v>
      </c>
      <c r="P4" t="s">
        <v>165</v>
      </c>
      <c r="Q4" s="8">
        <v>45692</v>
      </c>
      <c r="R4" t="s">
        <v>166</v>
      </c>
      <c r="S4" t="s">
        <v>167</v>
      </c>
      <c r="T4" t="s">
        <v>105</v>
      </c>
      <c r="U4" s="9" t="s">
        <v>168</v>
      </c>
      <c r="V4" s="9" t="s">
        <v>107</v>
      </c>
      <c r="W4" s="9" t="s">
        <v>108</v>
      </c>
      <c r="X4" t="s">
        <v>169</v>
      </c>
      <c r="Z4" t="s">
        <v>110</v>
      </c>
      <c r="AA4" t="s">
        <v>111</v>
      </c>
      <c r="AD4" t="s">
        <v>112</v>
      </c>
      <c r="AE4" t="s">
        <v>113</v>
      </c>
      <c r="AF4" t="s">
        <v>170</v>
      </c>
      <c r="AG4" t="s">
        <v>171</v>
      </c>
      <c r="AJ4" t="s">
        <v>172</v>
      </c>
      <c r="AM4" t="s">
        <v>173</v>
      </c>
      <c r="AN4" t="s">
        <v>158</v>
      </c>
      <c r="AO4" t="s">
        <v>119</v>
      </c>
      <c r="AP4">
        <v>7.0000000000000007E-2</v>
      </c>
      <c r="AQ4" t="s">
        <v>120</v>
      </c>
      <c r="AR4" t="s">
        <v>121</v>
      </c>
      <c r="AS4" t="s">
        <v>122</v>
      </c>
      <c r="AT4" t="s">
        <v>123</v>
      </c>
      <c r="AU4" t="s">
        <v>174</v>
      </c>
      <c r="AV4" t="s">
        <v>125</v>
      </c>
      <c r="AW4" t="s">
        <v>126</v>
      </c>
      <c r="AZ4" s="8"/>
      <c r="BA4" t="s">
        <v>127</v>
      </c>
      <c r="BF4" t="s">
        <v>100</v>
      </c>
      <c r="BG4" t="s">
        <v>165</v>
      </c>
      <c r="BH4" s="9" t="s">
        <v>128</v>
      </c>
      <c r="BJ4" t="s">
        <v>129</v>
      </c>
      <c r="BK4" t="s">
        <v>130</v>
      </c>
      <c r="BL4">
        <v>5</v>
      </c>
      <c r="BM4">
        <v>44</v>
      </c>
      <c r="BN4" t="s">
        <v>131</v>
      </c>
      <c r="BP4" t="s">
        <v>175</v>
      </c>
      <c r="BQ4" s="7" t="s">
        <v>176</v>
      </c>
      <c r="BR4" t="s">
        <v>134</v>
      </c>
      <c r="BS4" t="s">
        <v>135</v>
      </c>
      <c r="BT4" t="s">
        <v>135</v>
      </c>
      <c r="BX4" t="s">
        <v>136</v>
      </c>
    </row>
    <row r="5" spans="1:90">
      <c r="A5" t="s">
        <v>177</v>
      </c>
      <c r="B5" t="str">
        <f t="shared" si="0"/>
        <v>Andres Mauricio Barrera Claro</v>
      </c>
      <c r="C5" s="7" t="s">
        <v>178</v>
      </c>
      <c r="D5" s="7" t="s">
        <v>179</v>
      </c>
      <c r="E5" s="7" t="s">
        <v>180</v>
      </c>
      <c r="F5" s="7" t="s">
        <v>94</v>
      </c>
      <c r="G5" s="8">
        <v>34657</v>
      </c>
      <c r="H5" t="s">
        <v>181</v>
      </c>
      <c r="I5" t="s">
        <v>96</v>
      </c>
      <c r="J5" t="s">
        <v>182</v>
      </c>
      <c r="L5" s="7" t="s">
        <v>183</v>
      </c>
      <c r="M5" t="s">
        <v>99</v>
      </c>
      <c r="N5" t="s">
        <v>100</v>
      </c>
      <c r="O5" t="s">
        <v>164</v>
      </c>
      <c r="P5" t="s">
        <v>165</v>
      </c>
      <c r="Q5" s="8">
        <v>45603</v>
      </c>
      <c r="R5" t="s">
        <v>184</v>
      </c>
      <c r="S5" t="s">
        <v>185</v>
      </c>
      <c r="T5" t="s">
        <v>105</v>
      </c>
      <c r="U5" s="9" t="s">
        <v>186</v>
      </c>
      <c r="V5" s="9" t="s">
        <v>107</v>
      </c>
      <c r="W5" s="9" t="s">
        <v>108</v>
      </c>
      <c r="X5" t="s">
        <v>109</v>
      </c>
      <c r="Z5" t="s">
        <v>187</v>
      </c>
      <c r="AA5" t="s">
        <v>111</v>
      </c>
      <c r="AD5" t="s">
        <v>112</v>
      </c>
      <c r="AE5" t="s">
        <v>113</v>
      </c>
      <c r="AF5" t="s">
        <v>188</v>
      </c>
      <c r="AG5" t="s">
        <v>189</v>
      </c>
      <c r="AH5" t="s">
        <v>190</v>
      </c>
      <c r="AJ5" t="s">
        <v>191</v>
      </c>
      <c r="AM5" t="s">
        <v>192</v>
      </c>
      <c r="AN5" t="s">
        <v>177</v>
      </c>
      <c r="AO5" t="s">
        <v>193</v>
      </c>
      <c r="AP5">
        <v>3.5539999999999998</v>
      </c>
      <c r="AQ5" t="s">
        <v>120</v>
      </c>
      <c r="AR5" t="s">
        <v>194</v>
      </c>
      <c r="AS5" t="s">
        <v>122</v>
      </c>
      <c r="AT5" t="s">
        <v>154</v>
      </c>
      <c r="AU5" t="s">
        <v>195</v>
      </c>
      <c r="AV5" t="s">
        <v>125</v>
      </c>
      <c r="AW5" t="s">
        <v>126</v>
      </c>
      <c r="AZ5" s="8"/>
      <c r="BA5" t="s">
        <v>127</v>
      </c>
      <c r="BF5" t="s">
        <v>100</v>
      </c>
      <c r="BG5" t="s">
        <v>165</v>
      </c>
      <c r="BH5" s="9" t="s">
        <v>128</v>
      </c>
      <c r="BJ5" t="s">
        <v>129</v>
      </c>
      <c r="BL5">
        <v>5</v>
      </c>
      <c r="BM5">
        <v>44</v>
      </c>
      <c r="BN5" t="s">
        <v>131</v>
      </c>
      <c r="BP5" t="s">
        <v>175</v>
      </c>
      <c r="BQ5" s="7" t="s">
        <v>176</v>
      </c>
      <c r="BR5" t="s">
        <v>134</v>
      </c>
      <c r="BS5" t="s">
        <v>135</v>
      </c>
      <c r="BT5" t="s">
        <v>135</v>
      </c>
      <c r="CL5" t="s">
        <v>138</v>
      </c>
    </row>
    <row r="6" spans="1:90">
      <c r="A6" t="s">
        <v>196</v>
      </c>
      <c r="B6" t="str">
        <f t="shared" si="0"/>
        <v>Angelo Cristofer Vasquez Abarca</v>
      </c>
      <c r="C6" s="7" t="s">
        <v>197</v>
      </c>
      <c r="D6" s="7" t="s">
        <v>198</v>
      </c>
      <c r="E6" s="7" t="s">
        <v>199</v>
      </c>
      <c r="F6" s="7" t="s">
        <v>94</v>
      </c>
      <c r="G6" s="8">
        <v>39059</v>
      </c>
      <c r="H6" t="s">
        <v>95</v>
      </c>
      <c r="I6" t="s">
        <v>96</v>
      </c>
      <c r="J6" t="s">
        <v>97</v>
      </c>
      <c r="L6" s="7" t="s">
        <v>98</v>
      </c>
      <c r="M6" t="s">
        <v>99</v>
      </c>
      <c r="N6" t="s">
        <v>100</v>
      </c>
      <c r="O6" t="s">
        <v>101</v>
      </c>
      <c r="P6" t="s">
        <v>102</v>
      </c>
      <c r="Q6" s="8">
        <v>45804</v>
      </c>
      <c r="S6" t="s">
        <v>200</v>
      </c>
      <c r="T6" t="s">
        <v>105</v>
      </c>
      <c r="U6" s="9" t="s">
        <v>106</v>
      </c>
      <c r="V6" s="9" t="s">
        <v>107</v>
      </c>
      <c r="W6" s="9" t="s">
        <v>108</v>
      </c>
      <c r="X6" t="s">
        <v>201</v>
      </c>
      <c r="Z6" t="s">
        <v>110</v>
      </c>
      <c r="AA6" t="s">
        <v>111</v>
      </c>
      <c r="AD6" t="s">
        <v>112</v>
      </c>
      <c r="AE6" t="s">
        <v>113</v>
      </c>
      <c r="AF6" t="s">
        <v>202</v>
      </c>
      <c r="AG6" t="s">
        <v>203</v>
      </c>
      <c r="AH6" t="s">
        <v>204</v>
      </c>
      <c r="AJ6" t="s">
        <v>205</v>
      </c>
      <c r="AM6" t="s">
        <v>206</v>
      </c>
      <c r="AN6" t="s">
        <v>207</v>
      </c>
      <c r="AO6" t="s">
        <v>119</v>
      </c>
      <c r="AP6">
        <v>7.0000000000000007E-2</v>
      </c>
      <c r="AQ6" t="s">
        <v>120</v>
      </c>
      <c r="AR6" t="s">
        <v>194</v>
      </c>
      <c r="AS6" t="s">
        <v>122</v>
      </c>
      <c r="AT6" t="s">
        <v>208</v>
      </c>
      <c r="AU6" t="s">
        <v>209</v>
      </c>
      <c r="AV6" t="s">
        <v>125</v>
      </c>
      <c r="AW6" t="s">
        <v>126</v>
      </c>
      <c r="AZ6" s="8"/>
      <c r="BA6" t="s">
        <v>127</v>
      </c>
      <c r="BF6" t="s">
        <v>100</v>
      </c>
      <c r="BG6" t="s">
        <v>102</v>
      </c>
      <c r="BH6" s="9" t="s">
        <v>128</v>
      </c>
      <c r="BJ6" t="s">
        <v>129</v>
      </c>
      <c r="BL6">
        <v>5</v>
      </c>
      <c r="BM6">
        <v>44</v>
      </c>
      <c r="BN6" t="s">
        <v>131</v>
      </c>
      <c r="BP6" t="s">
        <v>132</v>
      </c>
      <c r="BQ6" s="7" t="s">
        <v>133</v>
      </c>
      <c r="BR6" t="s">
        <v>134</v>
      </c>
      <c r="BS6" t="s">
        <v>135</v>
      </c>
      <c r="BT6" t="s">
        <v>135</v>
      </c>
      <c r="BX6" t="s">
        <v>136</v>
      </c>
      <c r="CG6" t="s">
        <v>137</v>
      </c>
      <c r="CL6" t="s">
        <v>138</v>
      </c>
    </row>
    <row r="7" spans="1:90">
      <c r="A7" t="s">
        <v>210</v>
      </c>
      <c r="B7" t="str">
        <f t="shared" si="0"/>
        <v>Camilo Nicolas Toledo Flores</v>
      </c>
      <c r="C7" s="7" t="s">
        <v>211</v>
      </c>
      <c r="D7" s="7" t="s">
        <v>212</v>
      </c>
      <c r="E7" s="7" t="s">
        <v>213</v>
      </c>
      <c r="F7" s="7" t="s">
        <v>94</v>
      </c>
      <c r="G7" s="8">
        <v>33694</v>
      </c>
      <c r="H7" t="s">
        <v>95</v>
      </c>
      <c r="I7" t="s">
        <v>96</v>
      </c>
      <c r="J7" t="s">
        <v>97</v>
      </c>
      <c r="L7" s="7" t="s">
        <v>214</v>
      </c>
      <c r="M7" t="s">
        <v>99</v>
      </c>
      <c r="N7" t="s">
        <v>100</v>
      </c>
      <c r="O7" t="s">
        <v>144</v>
      </c>
      <c r="P7" t="s">
        <v>145</v>
      </c>
      <c r="Q7" s="8">
        <v>46084</v>
      </c>
      <c r="S7" t="s">
        <v>215</v>
      </c>
      <c r="T7" t="s">
        <v>105</v>
      </c>
      <c r="U7" s="9" t="s">
        <v>216</v>
      </c>
      <c r="V7" s="9" t="s">
        <v>107</v>
      </c>
      <c r="W7" s="9" t="s">
        <v>107</v>
      </c>
      <c r="X7" t="s">
        <v>109</v>
      </c>
      <c r="Z7" t="s">
        <v>110</v>
      </c>
      <c r="AA7" t="s">
        <v>111</v>
      </c>
      <c r="AD7" t="s">
        <v>112</v>
      </c>
      <c r="AE7" t="s">
        <v>113</v>
      </c>
      <c r="AF7" t="s">
        <v>113</v>
      </c>
      <c r="AG7" t="s">
        <v>217</v>
      </c>
      <c r="AJ7" t="s">
        <v>218</v>
      </c>
      <c r="AM7" t="s">
        <v>219</v>
      </c>
      <c r="AN7" t="s">
        <v>220</v>
      </c>
      <c r="AO7" t="s">
        <v>119</v>
      </c>
      <c r="AP7">
        <v>7.0000000000000007E-2</v>
      </c>
      <c r="AQ7" t="s">
        <v>120</v>
      </c>
      <c r="AR7" t="s">
        <v>121</v>
      </c>
      <c r="AS7" t="s">
        <v>122</v>
      </c>
      <c r="AT7" t="s">
        <v>123</v>
      </c>
      <c r="AU7" t="s">
        <v>221</v>
      </c>
      <c r="AV7" t="s">
        <v>125</v>
      </c>
      <c r="AW7" t="s">
        <v>126</v>
      </c>
      <c r="AZ7" s="8">
        <v>46173</v>
      </c>
      <c r="BA7" t="s">
        <v>222</v>
      </c>
      <c r="BF7" t="s">
        <v>100</v>
      </c>
      <c r="BG7" t="s">
        <v>145</v>
      </c>
      <c r="BH7" s="9" t="s">
        <v>128</v>
      </c>
      <c r="BJ7" t="s">
        <v>129</v>
      </c>
      <c r="BK7" t="s">
        <v>130</v>
      </c>
      <c r="BL7">
        <v>5</v>
      </c>
      <c r="BM7">
        <v>44</v>
      </c>
      <c r="BN7" t="s">
        <v>131</v>
      </c>
      <c r="BP7" t="s">
        <v>156</v>
      </c>
      <c r="BQ7" s="7" t="s">
        <v>157</v>
      </c>
      <c r="BR7" t="s">
        <v>134</v>
      </c>
      <c r="BS7" t="s">
        <v>135</v>
      </c>
      <c r="BT7" t="s">
        <v>135</v>
      </c>
      <c r="CG7" t="s">
        <v>137</v>
      </c>
    </row>
    <row r="8" spans="1:90">
      <c r="A8" t="s">
        <v>223</v>
      </c>
      <c r="B8" t="str">
        <f t="shared" si="0"/>
        <v>Carlos Nicolás Zúñiga Lizana</v>
      </c>
      <c r="C8" s="7" t="s">
        <v>224</v>
      </c>
      <c r="D8" s="7" t="s">
        <v>225</v>
      </c>
      <c r="E8" s="7" t="s">
        <v>226</v>
      </c>
      <c r="F8" s="7" t="s">
        <v>94</v>
      </c>
      <c r="G8" s="8">
        <v>32393</v>
      </c>
      <c r="H8" t="s">
        <v>95</v>
      </c>
      <c r="I8" t="s">
        <v>96</v>
      </c>
      <c r="J8" t="s">
        <v>97</v>
      </c>
      <c r="L8" s="7" t="s">
        <v>98</v>
      </c>
      <c r="M8" t="s">
        <v>99</v>
      </c>
      <c r="N8" t="s">
        <v>100</v>
      </c>
      <c r="O8" t="s">
        <v>101</v>
      </c>
      <c r="P8" t="s">
        <v>102</v>
      </c>
      <c r="Q8" s="8">
        <v>45323</v>
      </c>
      <c r="R8" t="s">
        <v>227</v>
      </c>
      <c r="S8" t="s">
        <v>228</v>
      </c>
      <c r="T8" t="s">
        <v>105</v>
      </c>
      <c r="U8" s="9" t="s">
        <v>106</v>
      </c>
      <c r="V8" s="9" t="s">
        <v>107</v>
      </c>
      <c r="W8" s="9" t="s">
        <v>108</v>
      </c>
      <c r="X8" t="s">
        <v>169</v>
      </c>
      <c r="Z8" t="s">
        <v>110</v>
      </c>
      <c r="AA8" t="s">
        <v>111</v>
      </c>
      <c r="AD8" t="s">
        <v>112</v>
      </c>
      <c r="AE8" t="s">
        <v>113</v>
      </c>
      <c r="AF8" t="s">
        <v>114</v>
      </c>
      <c r="AG8" t="s">
        <v>229</v>
      </c>
      <c r="AH8" t="s">
        <v>230</v>
      </c>
      <c r="AJ8" t="s">
        <v>231</v>
      </c>
      <c r="AK8" t="s">
        <v>232</v>
      </c>
      <c r="AL8" t="s">
        <v>232</v>
      </c>
      <c r="AM8" t="s">
        <v>233</v>
      </c>
      <c r="AN8" t="s">
        <v>223</v>
      </c>
      <c r="AO8" t="s">
        <v>119</v>
      </c>
      <c r="AP8">
        <v>7.0000000000000007E-2</v>
      </c>
      <c r="AQ8" t="s">
        <v>120</v>
      </c>
      <c r="AR8" t="s">
        <v>121</v>
      </c>
      <c r="AS8" t="s">
        <v>122</v>
      </c>
      <c r="AT8" t="s">
        <v>234</v>
      </c>
      <c r="AU8" t="s">
        <v>235</v>
      </c>
      <c r="AV8" t="s">
        <v>125</v>
      </c>
      <c r="AW8" t="s">
        <v>126</v>
      </c>
      <c r="AZ8" s="8"/>
      <c r="BA8" t="s">
        <v>127</v>
      </c>
      <c r="BF8" t="s">
        <v>100</v>
      </c>
      <c r="BG8" t="s">
        <v>102</v>
      </c>
      <c r="BH8" s="9" t="s">
        <v>128</v>
      </c>
      <c r="BJ8" t="s">
        <v>129</v>
      </c>
      <c r="BL8">
        <v>5</v>
      </c>
      <c r="BM8">
        <v>44</v>
      </c>
      <c r="BN8" t="s">
        <v>131</v>
      </c>
      <c r="BP8" t="s">
        <v>132</v>
      </c>
      <c r="BQ8" s="7" t="s">
        <v>133</v>
      </c>
      <c r="BR8" t="s">
        <v>134</v>
      </c>
      <c r="BS8" t="s">
        <v>135</v>
      </c>
      <c r="BT8" t="s">
        <v>135</v>
      </c>
      <c r="CG8" t="s">
        <v>137</v>
      </c>
    </row>
    <row r="9" spans="1:90">
      <c r="A9" t="s">
        <v>236</v>
      </c>
      <c r="B9" t="str">
        <f t="shared" si="0"/>
        <v>Carolina Andrea Ortiz Reyes</v>
      </c>
      <c r="C9" s="7" t="s">
        <v>237</v>
      </c>
      <c r="D9" s="7" t="s">
        <v>238</v>
      </c>
      <c r="E9" s="7" t="s">
        <v>160</v>
      </c>
      <c r="F9" s="7" t="s">
        <v>94</v>
      </c>
      <c r="G9" s="8">
        <v>30902</v>
      </c>
      <c r="H9" t="s">
        <v>95</v>
      </c>
      <c r="I9" t="s">
        <v>162</v>
      </c>
      <c r="L9" s="7" t="s">
        <v>239</v>
      </c>
      <c r="M9" t="s">
        <v>99</v>
      </c>
      <c r="N9" t="s">
        <v>100</v>
      </c>
      <c r="Q9" s="8">
        <v>42590</v>
      </c>
      <c r="S9" t="s">
        <v>240</v>
      </c>
      <c r="T9" t="s">
        <v>105</v>
      </c>
      <c r="U9" s="9" t="s">
        <v>241</v>
      </c>
      <c r="V9" s="9" t="s">
        <v>107</v>
      </c>
      <c r="W9" s="9" t="s">
        <v>108</v>
      </c>
      <c r="X9" t="s">
        <v>148</v>
      </c>
      <c r="Z9" t="s">
        <v>242</v>
      </c>
      <c r="AA9" t="s">
        <v>111</v>
      </c>
      <c r="AD9" t="s">
        <v>112</v>
      </c>
      <c r="AE9" t="s">
        <v>113</v>
      </c>
      <c r="AF9" t="s">
        <v>243</v>
      </c>
      <c r="AG9" t="s">
        <v>244</v>
      </c>
      <c r="AH9" t="s">
        <v>245</v>
      </c>
      <c r="AJ9" t="s">
        <v>246</v>
      </c>
      <c r="AL9" t="s">
        <v>247</v>
      </c>
      <c r="AM9" t="s">
        <v>248</v>
      </c>
      <c r="AN9" t="s">
        <v>236</v>
      </c>
      <c r="AO9" t="s">
        <v>193</v>
      </c>
      <c r="AP9">
        <v>3.6640000000000001</v>
      </c>
      <c r="AQ9" t="s">
        <v>120</v>
      </c>
      <c r="AR9" t="s">
        <v>194</v>
      </c>
      <c r="AS9" t="s">
        <v>122</v>
      </c>
      <c r="AT9" t="s">
        <v>154</v>
      </c>
      <c r="AU9" t="s">
        <v>249</v>
      </c>
      <c r="AV9" t="s">
        <v>125</v>
      </c>
      <c r="AW9" t="s">
        <v>126</v>
      </c>
      <c r="AZ9" s="8"/>
      <c r="BA9" t="s">
        <v>127</v>
      </c>
      <c r="BF9" t="s">
        <v>100</v>
      </c>
      <c r="BH9" s="9" t="s">
        <v>128</v>
      </c>
      <c r="BJ9" t="s">
        <v>129</v>
      </c>
      <c r="BL9">
        <v>5</v>
      </c>
      <c r="BM9">
        <v>44</v>
      </c>
      <c r="BN9" t="s">
        <v>131</v>
      </c>
      <c r="BP9" t="s">
        <v>250</v>
      </c>
      <c r="BQ9" s="7" t="s">
        <v>251</v>
      </c>
      <c r="BR9" t="s">
        <v>134</v>
      </c>
      <c r="BS9" t="s">
        <v>135</v>
      </c>
      <c r="BT9" t="s">
        <v>135</v>
      </c>
    </row>
    <row r="10" spans="1:90">
      <c r="A10" t="s">
        <v>252</v>
      </c>
      <c r="B10" t="str">
        <f t="shared" si="0"/>
        <v>Cesar Soto Pedraza</v>
      </c>
      <c r="C10" s="7" t="s">
        <v>253</v>
      </c>
      <c r="D10" s="7" t="s">
        <v>254</v>
      </c>
      <c r="E10" s="7" t="s">
        <v>255</v>
      </c>
      <c r="F10" s="7" t="s">
        <v>94</v>
      </c>
      <c r="G10" s="8">
        <v>34680</v>
      </c>
      <c r="H10" t="s">
        <v>95</v>
      </c>
      <c r="I10" t="s">
        <v>96</v>
      </c>
      <c r="J10" t="s">
        <v>97</v>
      </c>
      <c r="L10" s="7" t="s">
        <v>98</v>
      </c>
      <c r="M10" t="s">
        <v>99</v>
      </c>
      <c r="N10" t="s">
        <v>100</v>
      </c>
      <c r="O10" t="s">
        <v>101</v>
      </c>
      <c r="P10" t="s">
        <v>102</v>
      </c>
      <c r="Q10" s="8">
        <v>46118</v>
      </c>
      <c r="S10" t="s">
        <v>256</v>
      </c>
      <c r="T10" t="s">
        <v>105</v>
      </c>
      <c r="U10" s="9" t="s">
        <v>216</v>
      </c>
      <c r="V10" s="9" t="s">
        <v>107</v>
      </c>
      <c r="W10" s="9" t="s">
        <v>108</v>
      </c>
      <c r="X10" t="s">
        <v>109</v>
      </c>
      <c r="Z10" t="s">
        <v>110</v>
      </c>
      <c r="AA10" t="s">
        <v>111</v>
      </c>
      <c r="AD10" t="s">
        <v>112</v>
      </c>
      <c r="AE10" t="s">
        <v>113</v>
      </c>
      <c r="AF10" t="s">
        <v>170</v>
      </c>
      <c r="AG10" t="s">
        <v>257</v>
      </c>
      <c r="AJ10" t="s">
        <v>258</v>
      </c>
      <c r="AM10" t="s">
        <v>259</v>
      </c>
      <c r="AN10" t="s">
        <v>260</v>
      </c>
      <c r="AO10" t="s">
        <v>119</v>
      </c>
      <c r="AP10">
        <v>7.0000000000000007E-2</v>
      </c>
      <c r="AQ10" t="s">
        <v>120</v>
      </c>
      <c r="AR10" t="s">
        <v>121</v>
      </c>
      <c r="AS10" t="s">
        <v>122</v>
      </c>
      <c r="AT10" t="s">
        <v>123</v>
      </c>
      <c r="AU10" t="s">
        <v>261</v>
      </c>
      <c r="AV10" t="s">
        <v>125</v>
      </c>
      <c r="AW10" t="s">
        <v>126</v>
      </c>
      <c r="AZ10" s="8">
        <v>46203</v>
      </c>
      <c r="BF10" t="s">
        <v>100</v>
      </c>
      <c r="BG10" t="s">
        <v>102</v>
      </c>
      <c r="BH10" s="9" t="s">
        <v>128</v>
      </c>
      <c r="BJ10" t="s">
        <v>129</v>
      </c>
      <c r="BK10" t="s">
        <v>130</v>
      </c>
      <c r="BL10">
        <v>5</v>
      </c>
      <c r="BM10">
        <v>42</v>
      </c>
      <c r="BP10" t="s">
        <v>132</v>
      </c>
      <c r="BQ10" s="7" t="s">
        <v>133</v>
      </c>
      <c r="BR10" t="s">
        <v>134</v>
      </c>
      <c r="BS10" t="s">
        <v>135</v>
      </c>
      <c r="BT10" t="s">
        <v>105</v>
      </c>
      <c r="BX10" t="s">
        <v>136</v>
      </c>
      <c r="CG10" t="s">
        <v>137</v>
      </c>
    </row>
    <row r="11" spans="1:90">
      <c r="A11" t="s">
        <v>262</v>
      </c>
      <c r="B11" t="str">
        <f t="shared" si="0"/>
        <v>Christian Zegard Latrach</v>
      </c>
      <c r="C11" s="7" t="s">
        <v>263</v>
      </c>
      <c r="D11" s="7" t="s">
        <v>264</v>
      </c>
      <c r="E11" s="7" t="s">
        <v>265</v>
      </c>
      <c r="F11" s="7" t="s">
        <v>94</v>
      </c>
      <c r="G11" s="8">
        <v>28294</v>
      </c>
      <c r="H11" t="s">
        <v>95</v>
      </c>
      <c r="I11" t="s">
        <v>96</v>
      </c>
      <c r="J11" t="s">
        <v>266</v>
      </c>
      <c r="L11" s="7" t="s">
        <v>267</v>
      </c>
      <c r="M11" t="s">
        <v>99</v>
      </c>
      <c r="N11" t="s">
        <v>100</v>
      </c>
      <c r="Q11" s="8">
        <v>46113</v>
      </c>
      <c r="S11" t="s">
        <v>268</v>
      </c>
      <c r="T11" t="s">
        <v>105</v>
      </c>
      <c r="U11" s="9" t="s">
        <v>107</v>
      </c>
      <c r="V11" s="9" t="s">
        <v>107</v>
      </c>
      <c r="W11" s="9" t="s">
        <v>107</v>
      </c>
      <c r="X11" t="s">
        <v>169</v>
      </c>
      <c r="Z11" t="s">
        <v>269</v>
      </c>
      <c r="AA11" t="s">
        <v>111</v>
      </c>
      <c r="AD11" t="s">
        <v>112</v>
      </c>
      <c r="AE11" t="s">
        <v>270</v>
      </c>
      <c r="AF11" t="s">
        <v>113</v>
      </c>
      <c r="AG11" t="s">
        <v>271</v>
      </c>
      <c r="AJ11" t="s">
        <v>272</v>
      </c>
      <c r="AM11" t="s">
        <v>273</v>
      </c>
      <c r="AN11" t="s">
        <v>274</v>
      </c>
      <c r="AO11" t="s">
        <v>193</v>
      </c>
      <c r="AP11">
        <v>8.0960000000000001</v>
      </c>
      <c r="AQ11" t="s">
        <v>120</v>
      </c>
      <c r="AR11" t="s">
        <v>194</v>
      </c>
      <c r="AS11" t="s">
        <v>122</v>
      </c>
      <c r="AT11" t="s">
        <v>275</v>
      </c>
      <c r="AU11" t="s">
        <v>276</v>
      </c>
      <c r="AV11" t="s">
        <v>125</v>
      </c>
      <c r="AW11" t="s">
        <v>126</v>
      </c>
      <c r="AZ11" s="8"/>
      <c r="BF11" t="s">
        <v>100</v>
      </c>
      <c r="BH11" s="9" t="s">
        <v>128</v>
      </c>
      <c r="BJ11" t="s">
        <v>129</v>
      </c>
      <c r="BK11" t="s">
        <v>130</v>
      </c>
      <c r="BM11">
        <v>42</v>
      </c>
      <c r="BN11" t="s">
        <v>131</v>
      </c>
      <c r="BP11" t="s">
        <v>250</v>
      </c>
      <c r="BQ11" s="7" t="s">
        <v>251</v>
      </c>
      <c r="BR11" t="s">
        <v>134</v>
      </c>
      <c r="BS11" t="s">
        <v>135</v>
      </c>
      <c r="BT11" t="s">
        <v>105</v>
      </c>
      <c r="BX11" t="s">
        <v>136</v>
      </c>
      <c r="CG11" t="s">
        <v>137</v>
      </c>
    </row>
    <row r="12" spans="1:90">
      <c r="A12" t="s">
        <v>277</v>
      </c>
      <c r="B12" t="str">
        <f t="shared" si="0"/>
        <v>Claudio Sebastian Acosta Merino</v>
      </c>
      <c r="C12" s="7" t="s">
        <v>278</v>
      </c>
      <c r="D12" s="7" t="s">
        <v>279</v>
      </c>
      <c r="E12" s="7" t="s">
        <v>280</v>
      </c>
      <c r="F12" s="7" t="s">
        <v>94</v>
      </c>
      <c r="G12" s="8">
        <v>28896</v>
      </c>
      <c r="H12" t="s">
        <v>95</v>
      </c>
      <c r="I12" t="s">
        <v>96</v>
      </c>
      <c r="J12" t="s">
        <v>182</v>
      </c>
      <c r="L12" s="7" t="s">
        <v>281</v>
      </c>
      <c r="M12" t="s">
        <v>99</v>
      </c>
      <c r="N12" t="s">
        <v>100</v>
      </c>
      <c r="O12" t="s">
        <v>144</v>
      </c>
      <c r="P12" t="s">
        <v>145</v>
      </c>
      <c r="Q12" s="8">
        <v>45719</v>
      </c>
      <c r="S12" t="s">
        <v>282</v>
      </c>
      <c r="T12" t="s">
        <v>105</v>
      </c>
      <c r="U12" s="9" t="s">
        <v>283</v>
      </c>
      <c r="V12" s="9" t="s">
        <v>107</v>
      </c>
      <c r="W12" s="9" t="s">
        <v>107</v>
      </c>
      <c r="X12" t="s">
        <v>148</v>
      </c>
      <c r="Z12" t="s">
        <v>110</v>
      </c>
      <c r="AA12" t="s">
        <v>111</v>
      </c>
      <c r="AD12" t="s">
        <v>112</v>
      </c>
      <c r="AE12" t="s">
        <v>113</v>
      </c>
      <c r="AF12" t="s">
        <v>284</v>
      </c>
      <c r="AG12" t="s">
        <v>285</v>
      </c>
      <c r="AJ12" t="s">
        <v>286</v>
      </c>
      <c r="AK12" t="s">
        <v>287</v>
      </c>
      <c r="AL12" t="s">
        <v>288</v>
      </c>
      <c r="AM12" t="s">
        <v>289</v>
      </c>
      <c r="AN12" t="s">
        <v>277</v>
      </c>
      <c r="AO12" t="s">
        <v>119</v>
      </c>
      <c r="AP12">
        <v>7.0000000000000007E-2</v>
      </c>
      <c r="AQ12" t="s">
        <v>120</v>
      </c>
      <c r="AR12" t="s">
        <v>194</v>
      </c>
      <c r="AS12" t="s">
        <v>122</v>
      </c>
      <c r="AT12" t="s">
        <v>154</v>
      </c>
      <c r="AU12" t="s">
        <v>290</v>
      </c>
      <c r="AV12" t="s">
        <v>125</v>
      </c>
      <c r="AW12" t="s">
        <v>126</v>
      </c>
      <c r="AZ12" s="8"/>
      <c r="BA12" t="s">
        <v>127</v>
      </c>
      <c r="BF12" t="s">
        <v>100</v>
      </c>
      <c r="BG12" t="s">
        <v>145</v>
      </c>
      <c r="BH12" s="9" t="s">
        <v>128</v>
      </c>
      <c r="BJ12" t="s">
        <v>291</v>
      </c>
      <c r="BL12">
        <v>5</v>
      </c>
      <c r="BM12">
        <v>44</v>
      </c>
      <c r="BN12" t="s">
        <v>131</v>
      </c>
      <c r="BP12" t="s">
        <v>156</v>
      </c>
      <c r="BQ12" s="7" t="s">
        <v>157</v>
      </c>
      <c r="BR12" t="s">
        <v>134</v>
      </c>
      <c r="BS12" t="s">
        <v>135</v>
      </c>
      <c r="BT12" t="s">
        <v>135</v>
      </c>
    </row>
    <row r="13" spans="1:90">
      <c r="A13" t="s">
        <v>292</v>
      </c>
      <c r="B13" t="str">
        <f t="shared" si="0"/>
        <v>David Ignacio Muñoz Bruna</v>
      </c>
      <c r="C13" s="7" t="s">
        <v>293</v>
      </c>
      <c r="D13" s="7" t="s">
        <v>294</v>
      </c>
      <c r="E13" s="7" t="s">
        <v>295</v>
      </c>
      <c r="F13" s="7" t="s">
        <v>94</v>
      </c>
      <c r="G13" s="8">
        <v>34366</v>
      </c>
      <c r="H13" t="s">
        <v>95</v>
      </c>
      <c r="I13" t="s">
        <v>96</v>
      </c>
      <c r="J13" t="s">
        <v>182</v>
      </c>
      <c r="L13" s="7" t="s">
        <v>296</v>
      </c>
      <c r="M13" t="s">
        <v>99</v>
      </c>
      <c r="N13" t="s">
        <v>100</v>
      </c>
      <c r="O13" t="s">
        <v>144</v>
      </c>
      <c r="P13" t="s">
        <v>145</v>
      </c>
      <c r="Q13" s="8">
        <v>45119</v>
      </c>
      <c r="S13" t="s">
        <v>297</v>
      </c>
      <c r="T13" t="s">
        <v>105</v>
      </c>
      <c r="U13" s="9" t="s">
        <v>298</v>
      </c>
      <c r="V13" s="9" t="s">
        <v>107</v>
      </c>
      <c r="W13" s="9" t="s">
        <v>107</v>
      </c>
      <c r="X13" t="s">
        <v>299</v>
      </c>
      <c r="Z13" t="s">
        <v>110</v>
      </c>
      <c r="AA13" t="s">
        <v>111</v>
      </c>
      <c r="AD13" t="s">
        <v>112</v>
      </c>
      <c r="AE13" t="s">
        <v>113</v>
      </c>
      <c r="AF13" t="s">
        <v>300</v>
      </c>
      <c r="AG13" t="s">
        <v>301</v>
      </c>
      <c r="AH13" t="s">
        <v>302</v>
      </c>
      <c r="AI13" t="s">
        <v>303</v>
      </c>
      <c r="AJ13" t="s">
        <v>304</v>
      </c>
      <c r="AL13" t="s">
        <v>305</v>
      </c>
      <c r="AM13" t="s">
        <v>306</v>
      </c>
      <c r="AN13" t="s">
        <v>292</v>
      </c>
      <c r="AO13" t="s">
        <v>119</v>
      </c>
      <c r="AP13">
        <v>7.0000000000000007E-2</v>
      </c>
      <c r="AQ13" t="s">
        <v>120</v>
      </c>
      <c r="AR13" t="s">
        <v>194</v>
      </c>
      <c r="AS13" t="s">
        <v>122</v>
      </c>
      <c r="AT13" t="s">
        <v>154</v>
      </c>
      <c r="AU13" t="s">
        <v>307</v>
      </c>
      <c r="AV13" t="s">
        <v>125</v>
      </c>
      <c r="AW13" t="s">
        <v>126</v>
      </c>
      <c r="AZ13" s="8"/>
      <c r="BA13" t="s">
        <v>127</v>
      </c>
      <c r="BE13" t="s">
        <v>308</v>
      </c>
      <c r="BF13" t="s">
        <v>100</v>
      </c>
      <c r="BG13" t="s">
        <v>145</v>
      </c>
      <c r="BH13" s="9" t="s">
        <v>128</v>
      </c>
      <c r="BJ13" t="s">
        <v>129</v>
      </c>
      <c r="BL13">
        <v>5</v>
      </c>
      <c r="BM13">
        <v>44</v>
      </c>
      <c r="BN13" t="s">
        <v>131</v>
      </c>
      <c r="BP13" t="s">
        <v>156</v>
      </c>
      <c r="BQ13" s="7" t="s">
        <v>157</v>
      </c>
      <c r="BR13" t="s">
        <v>134</v>
      </c>
      <c r="BS13" t="s">
        <v>135</v>
      </c>
      <c r="BT13" t="s">
        <v>135</v>
      </c>
    </row>
    <row r="14" spans="1:90">
      <c r="A14" t="s">
        <v>309</v>
      </c>
      <c r="B14" t="str">
        <f t="shared" si="0"/>
        <v>Diego Eduardo Cabrera Eyzaguirre</v>
      </c>
      <c r="C14" s="7" t="s">
        <v>310</v>
      </c>
      <c r="D14" s="7" t="s">
        <v>311</v>
      </c>
      <c r="E14" s="7" t="s">
        <v>312</v>
      </c>
      <c r="F14" s="7" t="s">
        <v>94</v>
      </c>
      <c r="G14" s="8">
        <v>33307</v>
      </c>
      <c r="H14" t="s">
        <v>95</v>
      </c>
      <c r="I14" t="s">
        <v>96</v>
      </c>
      <c r="J14" t="s">
        <v>97</v>
      </c>
      <c r="L14" s="7" t="s">
        <v>313</v>
      </c>
      <c r="M14" t="s">
        <v>99</v>
      </c>
      <c r="N14" t="s">
        <v>100</v>
      </c>
      <c r="O14" t="s">
        <v>164</v>
      </c>
      <c r="P14" t="s">
        <v>165</v>
      </c>
      <c r="Q14" s="8">
        <v>45491</v>
      </c>
      <c r="R14" t="s">
        <v>314</v>
      </c>
      <c r="S14" t="s">
        <v>315</v>
      </c>
      <c r="T14" t="s">
        <v>135</v>
      </c>
      <c r="U14" s="9" t="s">
        <v>106</v>
      </c>
      <c r="V14" s="9" t="s">
        <v>107</v>
      </c>
      <c r="W14" s="9" t="s">
        <v>108</v>
      </c>
      <c r="X14" t="s">
        <v>299</v>
      </c>
      <c r="Z14" t="s">
        <v>110</v>
      </c>
      <c r="AA14" t="s">
        <v>111</v>
      </c>
      <c r="AD14" t="s">
        <v>112</v>
      </c>
      <c r="AE14" t="s">
        <v>113</v>
      </c>
      <c r="AF14" t="s">
        <v>316</v>
      </c>
      <c r="AG14" t="s">
        <v>317</v>
      </c>
      <c r="AH14" t="s">
        <v>318</v>
      </c>
      <c r="AJ14" t="s">
        <v>319</v>
      </c>
      <c r="AL14" t="s">
        <v>320</v>
      </c>
      <c r="AM14" t="s">
        <v>321</v>
      </c>
      <c r="AN14" t="s">
        <v>309</v>
      </c>
      <c r="AO14" t="s">
        <v>119</v>
      </c>
      <c r="AP14">
        <v>7.0000000000000007E-2</v>
      </c>
      <c r="AQ14" t="s">
        <v>120</v>
      </c>
      <c r="AR14" t="s">
        <v>194</v>
      </c>
      <c r="AS14" t="s">
        <v>122</v>
      </c>
      <c r="AT14" t="s">
        <v>275</v>
      </c>
      <c r="AU14" t="s">
        <v>322</v>
      </c>
      <c r="AV14" t="s">
        <v>125</v>
      </c>
      <c r="AW14" t="s">
        <v>126</v>
      </c>
      <c r="AZ14" s="8"/>
      <c r="BA14" t="s">
        <v>127</v>
      </c>
      <c r="BF14" t="s">
        <v>100</v>
      </c>
      <c r="BG14" t="s">
        <v>165</v>
      </c>
      <c r="BH14" s="9" t="s">
        <v>128</v>
      </c>
      <c r="BJ14" t="s">
        <v>129</v>
      </c>
      <c r="BL14">
        <v>5</v>
      </c>
      <c r="BM14">
        <v>44</v>
      </c>
      <c r="BN14" t="s">
        <v>131</v>
      </c>
      <c r="BP14" t="s">
        <v>175</v>
      </c>
      <c r="BQ14" s="7" t="s">
        <v>176</v>
      </c>
      <c r="BR14" t="s">
        <v>134</v>
      </c>
      <c r="BS14" t="s">
        <v>135</v>
      </c>
      <c r="BT14" t="s">
        <v>135</v>
      </c>
    </row>
    <row r="15" spans="1:90">
      <c r="A15" t="s">
        <v>323</v>
      </c>
      <c r="B15" t="str">
        <f t="shared" si="0"/>
        <v>Eduardo Alejandro Lillo Miranda</v>
      </c>
      <c r="C15" s="7" t="s">
        <v>324</v>
      </c>
      <c r="D15" s="7" t="s">
        <v>325</v>
      </c>
      <c r="E15" s="7" t="s">
        <v>326</v>
      </c>
      <c r="F15" s="7" t="s">
        <v>94</v>
      </c>
      <c r="G15" s="8">
        <v>25479</v>
      </c>
      <c r="H15" t="s">
        <v>95</v>
      </c>
      <c r="I15" t="s">
        <v>96</v>
      </c>
      <c r="J15" t="s">
        <v>266</v>
      </c>
      <c r="L15" s="7" t="s">
        <v>296</v>
      </c>
      <c r="M15" t="s">
        <v>99</v>
      </c>
      <c r="N15" t="s">
        <v>100</v>
      </c>
      <c r="O15" t="s">
        <v>144</v>
      </c>
      <c r="P15" t="s">
        <v>145</v>
      </c>
      <c r="Q15" s="8">
        <v>46090</v>
      </c>
      <c r="R15" t="s">
        <v>327</v>
      </c>
      <c r="S15" t="s">
        <v>328</v>
      </c>
      <c r="T15" t="s">
        <v>105</v>
      </c>
      <c r="U15" s="9" t="s">
        <v>298</v>
      </c>
      <c r="V15" s="9" t="s">
        <v>107</v>
      </c>
      <c r="W15" s="9" t="s">
        <v>107</v>
      </c>
      <c r="X15" t="s">
        <v>201</v>
      </c>
      <c r="Z15" t="s">
        <v>110</v>
      </c>
      <c r="AA15" t="s">
        <v>111</v>
      </c>
      <c r="AD15" t="s">
        <v>329</v>
      </c>
      <c r="AE15" t="s">
        <v>330</v>
      </c>
      <c r="AF15" t="s">
        <v>330</v>
      </c>
      <c r="AG15" t="s">
        <v>331</v>
      </c>
      <c r="AJ15" t="s">
        <v>332</v>
      </c>
      <c r="AM15" t="s">
        <v>333</v>
      </c>
      <c r="AN15" t="s">
        <v>323</v>
      </c>
      <c r="AO15" t="s">
        <v>119</v>
      </c>
      <c r="AP15">
        <v>7.0000000000000007E-2</v>
      </c>
      <c r="AQ15" t="s">
        <v>120</v>
      </c>
      <c r="AR15" t="s">
        <v>121</v>
      </c>
      <c r="AS15" t="s">
        <v>122</v>
      </c>
      <c r="AT15" t="s">
        <v>154</v>
      </c>
      <c r="AU15" t="s">
        <v>334</v>
      </c>
      <c r="AV15" t="s">
        <v>125</v>
      </c>
      <c r="AW15" t="s">
        <v>126</v>
      </c>
      <c r="AZ15" s="8">
        <v>46173</v>
      </c>
      <c r="BA15" t="s">
        <v>222</v>
      </c>
      <c r="BF15" t="s">
        <v>100</v>
      </c>
      <c r="BG15" t="s">
        <v>145</v>
      </c>
      <c r="BH15" s="9" t="s">
        <v>128</v>
      </c>
      <c r="BJ15" t="s">
        <v>129</v>
      </c>
      <c r="BK15" t="s">
        <v>130</v>
      </c>
      <c r="BM15">
        <v>44</v>
      </c>
      <c r="BN15" t="s">
        <v>131</v>
      </c>
      <c r="BP15" t="s">
        <v>156</v>
      </c>
      <c r="BQ15" s="7" t="s">
        <v>157</v>
      </c>
      <c r="BR15" t="s">
        <v>134</v>
      </c>
      <c r="BS15" t="s">
        <v>135</v>
      </c>
      <c r="BT15" t="s">
        <v>135</v>
      </c>
      <c r="BX15" t="s">
        <v>136</v>
      </c>
    </row>
    <row r="16" spans="1:90">
      <c r="A16" t="s">
        <v>335</v>
      </c>
      <c r="B16" t="str">
        <f t="shared" si="0"/>
        <v>Eric David Cisternas Faundez</v>
      </c>
      <c r="C16" s="7" t="s">
        <v>336</v>
      </c>
      <c r="D16" s="7" t="s">
        <v>337</v>
      </c>
      <c r="E16" s="7" t="s">
        <v>338</v>
      </c>
      <c r="F16" s="7" t="s">
        <v>94</v>
      </c>
      <c r="G16" s="8">
        <v>24885</v>
      </c>
      <c r="H16" t="s">
        <v>95</v>
      </c>
      <c r="I16" t="s">
        <v>96</v>
      </c>
      <c r="J16" t="s">
        <v>182</v>
      </c>
      <c r="L16" s="7" t="s">
        <v>339</v>
      </c>
      <c r="M16" t="s">
        <v>99</v>
      </c>
      <c r="N16" t="s">
        <v>100</v>
      </c>
      <c r="O16" t="s">
        <v>101</v>
      </c>
      <c r="P16" t="s">
        <v>102</v>
      </c>
      <c r="Q16" s="8">
        <v>44789</v>
      </c>
      <c r="S16" t="s">
        <v>340</v>
      </c>
      <c r="T16" t="s">
        <v>105</v>
      </c>
      <c r="U16" s="9" t="s">
        <v>341</v>
      </c>
      <c r="V16" s="9" t="s">
        <v>107</v>
      </c>
      <c r="W16" s="9" t="s">
        <v>107</v>
      </c>
      <c r="X16" t="s">
        <v>169</v>
      </c>
      <c r="Z16" t="s">
        <v>242</v>
      </c>
      <c r="AA16" t="s">
        <v>111</v>
      </c>
      <c r="AD16" t="s">
        <v>112</v>
      </c>
      <c r="AE16" t="s">
        <v>113</v>
      </c>
      <c r="AF16" t="s">
        <v>342</v>
      </c>
      <c r="AG16" t="s">
        <v>343</v>
      </c>
      <c r="AH16" t="s">
        <v>344</v>
      </c>
      <c r="AI16" t="s">
        <v>345</v>
      </c>
      <c r="AJ16" t="s">
        <v>346</v>
      </c>
      <c r="AL16" t="s">
        <v>347</v>
      </c>
      <c r="AM16" t="s">
        <v>348</v>
      </c>
      <c r="AN16" t="s">
        <v>335</v>
      </c>
      <c r="AO16" t="s">
        <v>193</v>
      </c>
      <c r="AP16">
        <v>5.9569999999999999</v>
      </c>
      <c r="AQ16" t="s">
        <v>120</v>
      </c>
      <c r="AR16" t="s">
        <v>194</v>
      </c>
      <c r="AS16" t="s">
        <v>122</v>
      </c>
      <c r="AT16" t="s">
        <v>275</v>
      </c>
      <c r="AU16" t="s">
        <v>349</v>
      </c>
      <c r="AV16" t="s">
        <v>125</v>
      </c>
      <c r="AW16" t="s">
        <v>126</v>
      </c>
      <c r="AZ16" s="8"/>
      <c r="BA16" t="s">
        <v>127</v>
      </c>
      <c r="BF16" t="s">
        <v>100</v>
      </c>
      <c r="BG16" t="s">
        <v>102</v>
      </c>
      <c r="BH16" s="9" t="s">
        <v>128</v>
      </c>
      <c r="BJ16" t="s">
        <v>129</v>
      </c>
      <c r="BL16">
        <v>5</v>
      </c>
      <c r="BM16">
        <v>44</v>
      </c>
      <c r="BN16" t="s">
        <v>131</v>
      </c>
      <c r="BP16" t="s">
        <v>250</v>
      </c>
      <c r="BQ16" s="7" t="s">
        <v>251</v>
      </c>
      <c r="BR16" t="s">
        <v>134</v>
      </c>
      <c r="BS16" t="s">
        <v>135</v>
      </c>
      <c r="BT16" t="s">
        <v>135</v>
      </c>
    </row>
    <row r="17" spans="1:90">
      <c r="A17" t="s">
        <v>157</v>
      </c>
      <c r="B17" t="str">
        <f t="shared" si="0"/>
        <v>Erich David Olate Valdes</v>
      </c>
      <c r="C17" s="7" t="s">
        <v>350</v>
      </c>
      <c r="D17" s="7" t="s">
        <v>351</v>
      </c>
      <c r="E17" s="7" t="s">
        <v>352</v>
      </c>
      <c r="F17" s="7" t="s">
        <v>94</v>
      </c>
      <c r="G17" s="8">
        <v>27167</v>
      </c>
      <c r="H17" t="s">
        <v>95</v>
      </c>
      <c r="I17" t="s">
        <v>96</v>
      </c>
      <c r="J17" t="s">
        <v>182</v>
      </c>
      <c r="L17" s="7" t="s">
        <v>353</v>
      </c>
      <c r="M17" t="s">
        <v>99</v>
      </c>
      <c r="N17" t="s">
        <v>100</v>
      </c>
      <c r="O17" t="s">
        <v>144</v>
      </c>
      <c r="P17" t="s">
        <v>145</v>
      </c>
      <c r="Q17" s="8">
        <v>45111</v>
      </c>
      <c r="S17" t="s">
        <v>354</v>
      </c>
      <c r="T17" t="s">
        <v>135</v>
      </c>
      <c r="U17" s="9" t="s">
        <v>341</v>
      </c>
      <c r="V17" s="9" t="s">
        <v>107</v>
      </c>
      <c r="W17" s="9" t="s">
        <v>355</v>
      </c>
      <c r="X17" t="s">
        <v>148</v>
      </c>
      <c r="Z17" t="s">
        <v>110</v>
      </c>
      <c r="AA17" t="s">
        <v>111</v>
      </c>
      <c r="AD17" t="s">
        <v>112</v>
      </c>
      <c r="AE17" t="s">
        <v>113</v>
      </c>
      <c r="AF17" t="s">
        <v>300</v>
      </c>
      <c r="AG17" t="s">
        <v>356</v>
      </c>
      <c r="AH17" t="s">
        <v>357</v>
      </c>
      <c r="AJ17" t="s">
        <v>358</v>
      </c>
      <c r="AK17" t="s">
        <v>359</v>
      </c>
      <c r="AL17" t="s">
        <v>360</v>
      </c>
      <c r="AM17" t="s">
        <v>361</v>
      </c>
      <c r="AN17" t="s">
        <v>157</v>
      </c>
      <c r="AO17" t="s">
        <v>119</v>
      </c>
      <c r="AP17">
        <v>7.0000000000000007E-2</v>
      </c>
      <c r="AQ17" t="s">
        <v>120</v>
      </c>
      <c r="AR17" t="s">
        <v>121</v>
      </c>
      <c r="AS17" t="s">
        <v>122</v>
      </c>
      <c r="AT17" t="s">
        <v>275</v>
      </c>
      <c r="AU17" t="s">
        <v>362</v>
      </c>
      <c r="AV17" t="s">
        <v>125</v>
      </c>
      <c r="AW17" t="s">
        <v>126</v>
      </c>
      <c r="AZ17" s="8"/>
      <c r="BA17" t="s">
        <v>127</v>
      </c>
      <c r="BF17" t="s">
        <v>100</v>
      </c>
      <c r="BG17" t="s">
        <v>145</v>
      </c>
      <c r="BH17" s="9" t="s">
        <v>128</v>
      </c>
      <c r="BJ17" t="s">
        <v>129</v>
      </c>
      <c r="BL17">
        <v>5</v>
      </c>
      <c r="BM17">
        <v>44</v>
      </c>
      <c r="BN17" t="s">
        <v>131</v>
      </c>
      <c r="BP17" t="s">
        <v>250</v>
      </c>
      <c r="BQ17" s="7" t="s">
        <v>251</v>
      </c>
      <c r="BR17" t="s">
        <v>134</v>
      </c>
      <c r="BS17" t="s">
        <v>135</v>
      </c>
      <c r="BT17" t="s">
        <v>135</v>
      </c>
    </row>
    <row r="18" spans="1:90">
      <c r="A18" t="s">
        <v>363</v>
      </c>
      <c r="B18" t="str">
        <f t="shared" si="0"/>
        <v>Eudo Eduine Parra Larreal</v>
      </c>
      <c r="C18" s="7" t="s">
        <v>364</v>
      </c>
      <c r="D18" s="7" t="s">
        <v>365</v>
      </c>
      <c r="E18" s="7" t="s">
        <v>366</v>
      </c>
      <c r="F18" s="7" t="s">
        <v>94</v>
      </c>
      <c r="G18" s="8">
        <v>29705</v>
      </c>
      <c r="H18" t="s">
        <v>367</v>
      </c>
      <c r="I18" t="s">
        <v>96</v>
      </c>
      <c r="J18" t="s">
        <v>97</v>
      </c>
      <c r="L18" s="7" t="s">
        <v>296</v>
      </c>
      <c r="M18" t="s">
        <v>99</v>
      </c>
      <c r="N18" t="s">
        <v>100</v>
      </c>
      <c r="O18" t="s">
        <v>144</v>
      </c>
      <c r="P18" t="s">
        <v>145</v>
      </c>
      <c r="Q18" s="8">
        <v>45931</v>
      </c>
      <c r="R18" t="s">
        <v>368</v>
      </c>
      <c r="S18" t="s">
        <v>369</v>
      </c>
      <c r="T18" t="s">
        <v>105</v>
      </c>
      <c r="U18" s="9" t="s">
        <v>298</v>
      </c>
      <c r="V18" s="9" t="s">
        <v>107</v>
      </c>
      <c r="W18" s="9" t="s">
        <v>107</v>
      </c>
      <c r="X18" t="s">
        <v>148</v>
      </c>
      <c r="Z18" t="s">
        <v>110</v>
      </c>
      <c r="AA18" t="s">
        <v>111</v>
      </c>
      <c r="AD18" t="s">
        <v>370</v>
      </c>
      <c r="AE18" t="s">
        <v>371</v>
      </c>
      <c r="AF18" t="s">
        <v>371</v>
      </c>
      <c r="AG18" t="s">
        <v>372</v>
      </c>
      <c r="AJ18" t="s">
        <v>373</v>
      </c>
      <c r="AM18" t="s">
        <v>374</v>
      </c>
      <c r="AN18" t="s">
        <v>363</v>
      </c>
      <c r="AO18" t="s">
        <v>119</v>
      </c>
      <c r="AP18">
        <v>7.0000000000000007E-2</v>
      </c>
      <c r="AQ18" t="s">
        <v>120</v>
      </c>
      <c r="AR18" t="s">
        <v>194</v>
      </c>
      <c r="AS18" t="s">
        <v>122</v>
      </c>
      <c r="AT18" t="s">
        <v>234</v>
      </c>
      <c r="AU18" t="s">
        <v>375</v>
      </c>
      <c r="AV18" t="s">
        <v>125</v>
      </c>
      <c r="AW18" t="s">
        <v>126</v>
      </c>
      <c r="AZ18" s="8"/>
      <c r="BA18" t="s">
        <v>127</v>
      </c>
      <c r="BB18" t="s">
        <v>376</v>
      </c>
      <c r="BF18" t="s">
        <v>100</v>
      </c>
      <c r="BG18" t="s">
        <v>145</v>
      </c>
      <c r="BH18" s="9" t="s">
        <v>128</v>
      </c>
      <c r="BJ18" t="s">
        <v>129</v>
      </c>
      <c r="BK18" t="s">
        <v>130</v>
      </c>
      <c r="BL18">
        <v>5</v>
      </c>
      <c r="BM18">
        <v>42</v>
      </c>
      <c r="BN18" t="s">
        <v>131</v>
      </c>
      <c r="BP18" t="s">
        <v>156</v>
      </c>
      <c r="BQ18" s="7" t="s">
        <v>157</v>
      </c>
      <c r="BR18" t="s">
        <v>134</v>
      </c>
      <c r="BS18" t="s">
        <v>135</v>
      </c>
      <c r="BT18" t="s">
        <v>135</v>
      </c>
      <c r="BX18" t="s">
        <v>136</v>
      </c>
      <c r="CG18" t="s">
        <v>137</v>
      </c>
    </row>
    <row r="19" spans="1:90">
      <c r="A19" t="s">
        <v>377</v>
      </c>
      <c r="B19" t="str">
        <f t="shared" si="0"/>
        <v>Eugenia Patricia Tognarelli Espinoza</v>
      </c>
      <c r="C19" s="7" t="s">
        <v>378</v>
      </c>
      <c r="D19" s="7" t="s">
        <v>379</v>
      </c>
      <c r="E19" s="7" t="s">
        <v>380</v>
      </c>
      <c r="F19" s="7" t="s">
        <v>94</v>
      </c>
      <c r="G19" s="8">
        <v>24516</v>
      </c>
      <c r="H19" t="s">
        <v>95</v>
      </c>
      <c r="I19" t="s">
        <v>162</v>
      </c>
      <c r="J19" t="s">
        <v>97</v>
      </c>
      <c r="L19" s="7" t="s">
        <v>381</v>
      </c>
      <c r="M19" t="s">
        <v>99</v>
      </c>
      <c r="N19" t="s">
        <v>100</v>
      </c>
      <c r="O19" t="s">
        <v>144</v>
      </c>
      <c r="P19" t="s">
        <v>145</v>
      </c>
      <c r="Q19" s="8">
        <v>45964</v>
      </c>
      <c r="S19" t="s">
        <v>382</v>
      </c>
      <c r="T19" t="s">
        <v>105</v>
      </c>
      <c r="U19" s="9" t="s">
        <v>216</v>
      </c>
      <c r="V19" s="9" t="s">
        <v>107</v>
      </c>
      <c r="W19" s="9" t="s">
        <v>108</v>
      </c>
      <c r="X19" t="s">
        <v>148</v>
      </c>
      <c r="Z19" t="s">
        <v>110</v>
      </c>
      <c r="AA19" t="s">
        <v>111</v>
      </c>
      <c r="AD19" t="s">
        <v>112</v>
      </c>
      <c r="AE19" t="s">
        <v>113</v>
      </c>
      <c r="AF19" t="s">
        <v>114</v>
      </c>
      <c r="AG19" t="s">
        <v>383</v>
      </c>
      <c r="AJ19" t="s">
        <v>384</v>
      </c>
      <c r="AM19" t="s">
        <v>385</v>
      </c>
      <c r="AN19" t="s">
        <v>386</v>
      </c>
      <c r="AO19" t="s">
        <v>119</v>
      </c>
      <c r="AP19">
        <v>7.0000000000000007E-2</v>
      </c>
      <c r="AQ19" t="s">
        <v>120</v>
      </c>
      <c r="AR19" t="s">
        <v>194</v>
      </c>
      <c r="AS19" t="s">
        <v>122</v>
      </c>
      <c r="AT19" t="s">
        <v>387</v>
      </c>
      <c r="AU19" t="s">
        <v>388</v>
      </c>
      <c r="AV19" t="s">
        <v>125</v>
      </c>
      <c r="AW19" t="s">
        <v>126</v>
      </c>
      <c r="AZ19" s="8">
        <v>46142</v>
      </c>
      <c r="BA19" t="s">
        <v>222</v>
      </c>
      <c r="BF19" t="s">
        <v>100</v>
      </c>
      <c r="BG19" t="s">
        <v>145</v>
      </c>
      <c r="BH19" s="9" t="s">
        <v>128</v>
      </c>
      <c r="BJ19" t="s">
        <v>129</v>
      </c>
      <c r="BK19" t="s">
        <v>130</v>
      </c>
      <c r="BL19">
        <v>5</v>
      </c>
      <c r="BM19">
        <v>44</v>
      </c>
      <c r="BN19" t="s">
        <v>131</v>
      </c>
      <c r="BP19" t="s">
        <v>156</v>
      </c>
      <c r="BQ19" s="7" t="s">
        <v>157</v>
      </c>
      <c r="BR19" t="s">
        <v>134</v>
      </c>
      <c r="BS19" t="s">
        <v>135</v>
      </c>
      <c r="BT19" t="s">
        <v>135</v>
      </c>
      <c r="CG19" t="s">
        <v>137</v>
      </c>
    </row>
    <row r="20" spans="1:90">
      <c r="A20" t="s">
        <v>389</v>
      </c>
      <c r="B20" t="str">
        <f t="shared" si="0"/>
        <v>Francisco Javier Cuevas Conejeros</v>
      </c>
      <c r="C20" s="7" t="s">
        <v>390</v>
      </c>
      <c r="D20" s="7" t="s">
        <v>391</v>
      </c>
      <c r="E20" s="7" t="s">
        <v>392</v>
      </c>
      <c r="F20" s="7" t="s">
        <v>94</v>
      </c>
      <c r="G20" s="8">
        <v>31737</v>
      </c>
      <c r="H20" t="s">
        <v>95</v>
      </c>
      <c r="I20" t="s">
        <v>96</v>
      </c>
      <c r="J20" t="s">
        <v>97</v>
      </c>
      <c r="L20" s="7" t="s">
        <v>393</v>
      </c>
      <c r="M20" t="s">
        <v>99</v>
      </c>
      <c r="N20" t="s">
        <v>100</v>
      </c>
      <c r="O20" t="s">
        <v>144</v>
      </c>
      <c r="P20" t="s">
        <v>145</v>
      </c>
      <c r="Q20" s="8">
        <v>45931</v>
      </c>
      <c r="R20" t="s">
        <v>394</v>
      </c>
      <c r="S20" t="s">
        <v>369</v>
      </c>
      <c r="T20" t="s">
        <v>105</v>
      </c>
      <c r="U20" s="9" t="s">
        <v>395</v>
      </c>
      <c r="V20" s="9" t="s">
        <v>107</v>
      </c>
      <c r="W20" s="9" t="s">
        <v>107</v>
      </c>
      <c r="X20" t="s">
        <v>109</v>
      </c>
      <c r="Z20" t="s">
        <v>396</v>
      </c>
      <c r="AA20" t="s">
        <v>111</v>
      </c>
      <c r="AD20" t="s">
        <v>112</v>
      </c>
      <c r="AE20" t="s">
        <v>113</v>
      </c>
      <c r="AF20" t="s">
        <v>114</v>
      </c>
      <c r="AG20" t="s">
        <v>397</v>
      </c>
      <c r="AJ20" t="s">
        <v>398</v>
      </c>
      <c r="AM20" t="s">
        <v>399</v>
      </c>
      <c r="AN20" t="s">
        <v>400</v>
      </c>
      <c r="AO20" t="s">
        <v>193</v>
      </c>
      <c r="AP20">
        <v>6.91</v>
      </c>
      <c r="AQ20" t="s">
        <v>120</v>
      </c>
      <c r="AR20" t="s">
        <v>194</v>
      </c>
      <c r="AS20" t="s">
        <v>122</v>
      </c>
      <c r="AT20" t="s">
        <v>401</v>
      </c>
      <c r="AU20" t="s">
        <v>402</v>
      </c>
      <c r="AV20" t="s">
        <v>125</v>
      </c>
      <c r="AW20" t="s">
        <v>126</v>
      </c>
      <c r="AZ20" s="8"/>
      <c r="BA20" t="s">
        <v>127</v>
      </c>
      <c r="BF20" t="s">
        <v>100</v>
      </c>
      <c r="BG20" t="s">
        <v>145</v>
      </c>
      <c r="BH20" s="9" t="s">
        <v>128</v>
      </c>
      <c r="BJ20" t="s">
        <v>129</v>
      </c>
      <c r="BK20" t="s">
        <v>130</v>
      </c>
      <c r="BL20">
        <v>5</v>
      </c>
      <c r="BM20">
        <v>42</v>
      </c>
      <c r="BN20" t="s">
        <v>131</v>
      </c>
      <c r="BP20" t="s">
        <v>156</v>
      </c>
      <c r="BQ20" s="7" t="s">
        <v>157</v>
      </c>
      <c r="BR20" t="s">
        <v>134</v>
      </c>
      <c r="BS20" t="s">
        <v>135</v>
      </c>
      <c r="BT20" t="s">
        <v>135</v>
      </c>
      <c r="BX20" t="s">
        <v>136</v>
      </c>
      <c r="CG20" t="s">
        <v>137</v>
      </c>
    </row>
    <row r="21" spans="1:90">
      <c r="A21" t="s">
        <v>403</v>
      </c>
      <c r="B21" t="str">
        <f t="shared" si="0"/>
        <v>Francisco Javier Puga Leviman</v>
      </c>
      <c r="C21" s="7" t="s">
        <v>390</v>
      </c>
      <c r="D21" s="7" t="s">
        <v>404</v>
      </c>
      <c r="E21" s="7" t="s">
        <v>405</v>
      </c>
      <c r="F21" s="7" t="s">
        <v>94</v>
      </c>
      <c r="G21" s="8">
        <v>33011</v>
      </c>
      <c r="H21" t="s">
        <v>95</v>
      </c>
      <c r="I21" t="s">
        <v>96</v>
      </c>
      <c r="J21" t="s">
        <v>266</v>
      </c>
      <c r="K21" t="s">
        <v>406</v>
      </c>
      <c r="L21" s="7" t="s">
        <v>407</v>
      </c>
      <c r="M21" t="s">
        <v>99</v>
      </c>
      <c r="N21" t="s">
        <v>100</v>
      </c>
      <c r="O21" t="s">
        <v>164</v>
      </c>
      <c r="P21" t="s">
        <v>165</v>
      </c>
      <c r="Q21" s="8">
        <v>45201</v>
      </c>
      <c r="S21" t="s">
        <v>408</v>
      </c>
      <c r="T21" t="s">
        <v>135</v>
      </c>
      <c r="U21" s="9" t="s">
        <v>186</v>
      </c>
      <c r="V21" s="9" t="s">
        <v>107</v>
      </c>
      <c r="W21" s="9" t="s">
        <v>108</v>
      </c>
      <c r="X21" t="s">
        <v>409</v>
      </c>
      <c r="Z21" t="s">
        <v>187</v>
      </c>
      <c r="AA21" t="s">
        <v>111</v>
      </c>
      <c r="AD21" t="s">
        <v>112</v>
      </c>
      <c r="AE21" t="s">
        <v>113</v>
      </c>
      <c r="AF21" t="s">
        <v>410</v>
      </c>
      <c r="AG21" t="s">
        <v>411</v>
      </c>
      <c r="AH21" t="s">
        <v>412</v>
      </c>
      <c r="AJ21" t="s">
        <v>413</v>
      </c>
      <c r="AL21" t="s">
        <v>414</v>
      </c>
      <c r="AM21" t="s">
        <v>415</v>
      </c>
      <c r="AN21" t="s">
        <v>414</v>
      </c>
      <c r="AO21" t="s">
        <v>416</v>
      </c>
      <c r="AP21">
        <v>1.302</v>
      </c>
      <c r="AQ21" t="s">
        <v>120</v>
      </c>
      <c r="AR21" t="s">
        <v>194</v>
      </c>
      <c r="AS21" t="s">
        <v>122</v>
      </c>
      <c r="AT21" t="s">
        <v>208</v>
      </c>
      <c r="AU21" t="s">
        <v>417</v>
      </c>
      <c r="AV21" t="s">
        <v>125</v>
      </c>
      <c r="AW21" t="s">
        <v>126</v>
      </c>
      <c r="AZ21" s="8"/>
      <c r="BA21" t="s">
        <v>127</v>
      </c>
      <c r="BF21" t="s">
        <v>100</v>
      </c>
      <c r="BG21" t="s">
        <v>165</v>
      </c>
      <c r="BH21" s="9" t="s">
        <v>128</v>
      </c>
      <c r="BJ21" t="s">
        <v>129</v>
      </c>
      <c r="BK21" t="s">
        <v>130</v>
      </c>
      <c r="BL21">
        <v>5</v>
      </c>
      <c r="BM21">
        <v>44</v>
      </c>
      <c r="BN21" t="s">
        <v>131</v>
      </c>
      <c r="BP21" t="s">
        <v>175</v>
      </c>
      <c r="BQ21" s="7" t="s">
        <v>176</v>
      </c>
      <c r="BR21" t="s">
        <v>134</v>
      </c>
      <c r="BS21" t="s">
        <v>135</v>
      </c>
      <c r="BT21" t="s">
        <v>135</v>
      </c>
      <c r="BX21" t="s">
        <v>136</v>
      </c>
      <c r="CG21" t="s">
        <v>137</v>
      </c>
    </row>
    <row r="22" spans="1:90">
      <c r="A22" t="s">
        <v>418</v>
      </c>
      <c r="B22" t="str">
        <f t="shared" si="0"/>
        <v>Geraldine Marlene Santander Parra</v>
      </c>
      <c r="C22" s="7" t="s">
        <v>419</v>
      </c>
      <c r="D22" s="7" t="s">
        <v>420</v>
      </c>
      <c r="E22" s="7" t="s">
        <v>365</v>
      </c>
      <c r="F22" s="7" t="s">
        <v>94</v>
      </c>
      <c r="G22" s="8">
        <v>35175</v>
      </c>
      <c r="H22" t="s">
        <v>95</v>
      </c>
      <c r="I22" t="s">
        <v>162</v>
      </c>
      <c r="L22" s="7" t="s">
        <v>421</v>
      </c>
      <c r="M22" t="s">
        <v>99</v>
      </c>
      <c r="N22" t="s">
        <v>100</v>
      </c>
      <c r="O22" t="s">
        <v>101</v>
      </c>
      <c r="P22" t="s">
        <v>102</v>
      </c>
      <c r="Q22" s="8">
        <v>44412</v>
      </c>
      <c r="S22" t="s">
        <v>422</v>
      </c>
      <c r="T22" t="s">
        <v>105</v>
      </c>
      <c r="U22" s="9" t="s">
        <v>241</v>
      </c>
      <c r="V22" s="9" t="s">
        <v>107</v>
      </c>
      <c r="W22" s="9" t="s">
        <v>108</v>
      </c>
      <c r="X22" t="s">
        <v>201</v>
      </c>
      <c r="Z22" t="s">
        <v>110</v>
      </c>
      <c r="AA22" t="s">
        <v>111</v>
      </c>
      <c r="AD22" t="s">
        <v>112</v>
      </c>
      <c r="AE22" t="s">
        <v>113</v>
      </c>
      <c r="AF22" t="s">
        <v>202</v>
      </c>
      <c r="AG22" t="s">
        <v>423</v>
      </c>
      <c r="AH22" t="s">
        <v>424</v>
      </c>
      <c r="AJ22" t="s">
        <v>425</v>
      </c>
      <c r="AL22" t="s">
        <v>426</v>
      </c>
      <c r="AM22" t="s">
        <v>427</v>
      </c>
      <c r="AN22" t="s">
        <v>418</v>
      </c>
      <c r="AO22" t="s">
        <v>119</v>
      </c>
      <c r="AP22">
        <v>7.0000000000000007E-2</v>
      </c>
      <c r="AQ22" t="s">
        <v>120</v>
      </c>
      <c r="AR22" t="s">
        <v>194</v>
      </c>
      <c r="AS22" t="s">
        <v>122</v>
      </c>
      <c r="AT22" t="s">
        <v>123</v>
      </c>
      <c r="AU22" t="s">
        <v>428</v>
      </c>
      <c r="AV22" t="s">
        <v>125</v>
      </c>
      <c r="AW22" t="s">
        <v>126</v>
      </c>
      <c r="AZ22" s="8"/>
      <c r="BA22" t="s">
        <v>127</v>
      </c>
      <c r="BF22" t="s">
        <v>100</v>
      </c>
      <c r="BG22" t="s">
        <v>102</v>
      </c>
      <c r="BH22" s="9" t="s">
        <v>128</v>
      </c>
      <c r="BJ22" t="s">
        <v>129</v>
      </c>
      <c r="BL22">
        <v>5</v>
      </c>
      <c r="BM22">
        <v>44</v>
      </c>
      <c r="BN22" t="s">
        <v>131</v>
      </c>
      <c r="BP22" t="s">
        <v>429</v>
      </c>
      <c r="BQ22" s="7" t="s">
        <v>335</v>
      </c>
      <c r="BR22" t="s">
        <v>134</v>
      </c>
      <c r="BS22" t="s">
        <v>135</v>
      </c>
      <c r="BT22" t="s">
        <v>135</v>
      </c>
    </row>
    <row r="23" spans="1:90">
      <c r="A23" t="s">
        <v>430</v>
      </c>
      <c r="B23" t="str">
        <f t="shared" si="0"/>
        <v>Gianfranco Alexander Flores Cordero</v>
      </c>
      <c r="C23" s="7" t="s">
        <v>431</v>
      </c>
      <c r="D23" s="7" t="s">
        <v>213</v>
      </c>
      <c r="E23" s="7" t="s">
        <v>432</v>
      </c>
      <c r="F23" s="7" t="s">
        <v>94</v>
      </c>
      <c r="G23" s="8">
        <v>36186</v>
      </c>
      <c r="H23" t="s">
        <v>95</v>
      </c>
      <c r="I23" t="s">
        <v>96</v>
      </c>
      <c r="J23" t="s">
        <v>97</v>
      </c>
      <c r="L23" s="7" t="s">
        <v>98</v>
      </c>
      <c r="M23" t="s">
        <v>99</v>
      </c>
      <c r="N23" t="s">
        <v>100</v>
      </c>
      <c r="O23" t="s">
        <v>101</v>
      </c>
      <c r="P23" t="s">
        <v>102</v>
      </c>
      <c r="Q23" s="8">
        <v>45659</v>
      </c>
      <c r="R23" t="s">
        <v>103</v>
      </c>
      <c r="S23" t="s">
        <v>104</v>
      </c>
      <c r="T23" t="s">
        <v>105</v>
      </c>
      <c r="U23" s="9" t="s">
        <v>106</v>
      </c>
      <c r="V23" s="9" t="s">
        <v>107</v>
      </c>
      <c r="W23" s="9" t="s">
        <v>108</v>
      </c>
      <c r="X23" t="s">
        <v>109</v>
      </c>
      <c r="Z23" t="s">
        <v>110</v>
      </c>
      <c r="AA23" t="s">
        <v>111</v>
      </c>
      <c r="AD23" t="s">
        <v>112</v>
      </c>
      <c r="AE23" t="s">
        <v>113</v>
      </c>
      <c r="AF23" t="s">
        <v>114</v>
      </c>
      <c r="AG23" t="s">
        <v>433</v>
      </c>
      <c r="AJ23" t="s">
        <v>434</v>
      </c>
      <c r="AM23" t="s">
        <v>435</v>
      </c>
      <c r="AN23" t="s">
        <v>430</v>
      </c>
      <c r="AO23" t="s">
        <v>119</v>
      </c>
      <c r="AP23">
        <v>7.0000000000000007E-2</v>
      </c>
      <c r="AQ23" t="s">
        <v>120</v>
      </c>
      <c r="AR23" t="s">
        <v>194</v>
      </c>
      <c r="AS23" t="s">
        <v>122</v>
      </c>
      <c r="AT23" t="s">
        <v>208</v>
      </c>
      <c r="AU23" t="s">
        <v>436</v>
      </c>
      <c r="AV23" t="s">
        <v>125</v>
      </c>
      <c r="AW23" t="s">
        <v>126</v>
      </c>
      <c r="AZ23" s="8"/>
      <c r="BA23" t="s">
        <v>127</v>
      </c>
      <c r="BF23" t="s">
        <v>100</v>
      </c>
      <c r="BG23" t="s">
        <v>102</v>
      </c>
      <c r="BH23" s="9" t="s">
        <v>128</v>
      </c>
      <c r="BJ23" t="s">
        <v>129</v>
      </c>
      <c r="BK23" t="s">
        <v>130</v>
      </c>
      <c r="BL23">
        <v>5</v>
      </c>
      <c r="BM23">
        <v>44</v>
      </c>
      <c r="BN23" t="s">
        <v>131</v>
      </c>
      <c r="BP23" t="s">
        <v>132</v>
      </c>
      <c r="BQ23" s="7" t="s">
        <v>133</v>
      </c>
      <c r="BR23" t="s">
        <v>134</v>
      </c>
      <c r="BS23" t="s">
        <v>135</v>
      </c>
      <c r="BT23" t="s">
        <v>135</v>
      </c>
      <c r="BX23" t="s">
        <v>136</v>
      </c>
      <c r="CG23" t="s">
        <v>137</v>
      </c>
      <c r="CL23" t="s">
        <v>138</v>
      </c>
    </row>
    <row r="24" spans="1:90">
      <c r="A24" t="s">
        <v>251</v>
      </c>
      <c r="B24" t="str">
        <f t="shared" si="0"/>
        <v>Gunther Peter Viertel Muñoz</v>
      </c>
      <c r="C24" s="7" t="s">
        <v>437</v>
      </c>
      <c r="D24" s="7" t="s">
        <v>438</v>
      </c>
      <c r="E24" s="7" t="s">
        <v>294</v>
      </c>
      <c r="F24" s="7" t="s">
        <v>94</v>
      </c>
      <c r="G24" s="8">
        <v>31536</v>
      </c>
      <c r="H24" t="s">
        <v>95</v>
      </c>
      <c r="I24" t="s">
        <v>96</v>
      </c>
      <c r="J24" t="s">
        <v>182</v>
      </c>
      <c r="L24" s="7" t="s">
        <v>267</v>
      </c>
      <c r="M24" t="s">
        <v>99</v>
      </c>
      <c r="N24" t="s">
        <v>100</v>
      </c>
      <c r="Q24" s="8">
        <v>43160</v>
      </c>
      <c r="S24" t="s">
        <v>439</v>
      </c>
      <c r="T24" t="s">
        <v>105</v>
      </c>
      <c r="U24" s="9" t="s">
        <v>440</v>
      </c>
      <c r="V24" s="9" t="s">
        <v>107</v>
      </c>
      <c r="W24" s="9" t="s">
        <v>107</v>
      </c>
      <c r="X24" t="s">
        <v>441</v>
      </c>
      <c r="Z24" t="s">
        <v>242</v>
      </c>
      <c r="AA24" t="s">
        <v>111</v>
      </c>
      <c r="AD24" t="s">
        <v>112</v>
      </c>
      <c r="AE24" t="s">
        <v>113</v>
      </c>
      <c r="AF24" t="s">
        <v>243</v>
      </c>
      <c r="AG24" t="s">
        <v>244</v>
      </c>
      <c r="AH24" t="s">
        <v>245</v>
      </c>
      <c r="AJ24" t="s">
        <v>442</v>
      </c>
      <c r="AL24" t="s">
        <v>443</v>
      </c>
      <c r="AM24" t="s">
        <v>444</v>
      </c>
      <c r="AN24" t="s">
        <v>251</v>
      </c>
      <c r="AO24" t="s">
        <v>193</v>
      </c>
      <c r="AP24">
        <v>11.016</v>
      </c>
      <c r="AQ24" t="s">
        <v>120</v>
      </c>
      <c r="AR24" t="s">
        <v>194</v>
      </c>
      <c r="AS24" t="s">
        <v>122</v>
      </c>
      <c r="AT24" t="s">
        <v>445</v>
      </c>
      <c r="AU24" t="s">
        <v>446</v>
      </c>
      <c r="AV24" t="s">
        <v>125</v>
      </c>
      <c r="AW24" t="s">
        <v>126</v>
      </c>
      <c r="AZ24" s="8"/>
      <c r="BA24" t="s">
        <v>127</v>
      </c>
      <c r="BF24" t="s">
        <v>100</v>
      </c>
      <c r="BH24" s="9" t="s">
        <v>128</v>
      </c>
      <c r="BJ24" t="s">
        <v>129</v>
      </c>
      <c r="BL24">
        <v>5</v>
      </c>
      <c r="BM24">
        <v>44</v>
      </c>
      <c r="BN24" t="s">
        <v>131</v>
      </c>
      <c r="BQ24" s="7"/>
      <c r="BR24" t="s">
        <v>134</v>
      </c>
      <c r="BS24" t="s">
        <v>135</v>
      </c>
      <c r="BT24" t="s">
        <v>135</v>
      </c>
    </row>
    <row r="25" spans="1:90">
      <c r="A25" t="s">
        <v>447</v>
      </c>
      <c r="B25" t="str">
        <f t="shared" si="0"/>
        <v>Gustavo Cesar Augusto Rojas Hip</v>
      </c>
      <c r="C25" s="7" t="s">
        <v>448</v>
      </c>
      <c r="D25" s="7" t="s">
        <v>449</v>
      </c>
      <c r="E25" s="7" t="s">
        <v>450</v>
      </c>
      <c r="F25" s="7" t="s">
        <v>94</v>
      </c>
      <c r="G25" s="8">
        <v>27344</v>
      </c>
      <c r="H25" t="s">
        <v>95</v>
      </c>
      <c r="I25" t="s">
        <v>96</v>
      </c>
      <c r="J25" t="s">
        <v>266</v>
      </c>
      <c r="L25" s="7" t="s">
        <v>451</v>
      </c>
      <c r="M25" t="s">
        <v>99</v>
      </c>
      <c r="N25" t="s">
        <v>100</v>
      </c>
      <c r="O25" t="s">
        <v>164</v>
      </c>
      <c r="P25" t="s">
        <v>165</v>
      </c>
      <c r="Q25" s="8">
        <v>46036</v>
      </c>
      <c r="R25" t="s">
        <v>452</v>
      </c>
      <c r="S25" t="s">
        <v>453</v>
      </c>
      <c r="T25" t="s">
        <v>135</v>
      </c>
      <c r="U25" s="9" t="s">
        <v>454</v>
      </c>
      <c r="V25" s="9" t="s">
        <v>107</v>
      </c>
      <c r="W25" s="9" t="s">
        <v>108</v>
      </c>
      <c r="X25" t="s">
        <v>148</v>
      </c>
      <c r="Z25" t="s">
        <v>110</v>
      </c>
      <c r="AA25" t="s">
        <v>111</v>
      </c>
      <c r="AD25" t="s">
        <v>112</v>
      </c>
      <c r="AE25" t="s">
        <v>113</v>
      </c>
      <c r="AF25" t="s">
        <v>455</v>
      </c>
      <c r="AG25" t="s">
        <v>456</v>
      </c>
      <c r="AJ25" t="s">
        <v>457</v>
      </c>
      <c r="AM25" t="s">
        <v>458</v>
      </c>
      <c r="AN25" t="s">
        <v>459</v>
      </c>
      <c r="AO25" t="s">
        <v>119</v>
      </c>
      <c r="AP25">
        <v>7.0000000000000007E-2</v>
      </c>
      <c r="AQ25" t="s">
        <v>120</v>
      </c>
      <c r="AR25" t="s">
        <v>121</v>
      </c>
      <c r="AS25" t="s">
        <v>122</v>
      </c>
      <c r="AT25" t="s">
        <v>460</v>
      </c>
      <c r="AU25" t="s">
        <v>461</v>
      </c>
      <c r="AV25" t="s">
        <v>125</v>
      </c>
      <c r="AW25" t="s">
        <v>126</v>
      </c>
      <c r="AZ25" s="8">
        <v>46142</v>
      </c>
      <c r="BA25" t="s">
        <v>222</v>
      </c>
      <c r="BB25" t="s">
        <v>376</v>
      </c>
      <c r="BF25" t="s">
        <v>100</v>
      </c>
      <c r="BG25" t="s">
        <v>165</v>
      </c>
      <c r="BH25" s="9" t="s">
        <v>128</v>
      </c>
      <c r="BJ25" t="s">
        <v>129</v>
      </c>
      <c r="BK25" t="s">
        <v>130</v>
      </c>
      <c r="BL25">
        <v>5</v>
      </c>
      <c r="BM25">
        <v>44</v>
      </c>
      <c r="BN25" t="s">
        <v>131</v>
      </c>
      <c r="BP25" t="s">
        <v>175</v>
      </c>
      <c r="BQ25" s="7" t="s">
        <v>176</v>
      </c>
      <c r="BR25" t="s">
        <v>134</v>
      </c>
      <c r="BS25" t="s">
        <v>135</v>
      </c>
      <c r="BT25" t="s">
        <v>135</v>
      </c>
      <c r="BX25" t="s">
        <v>136</v>
      </c>
      <c r="CG25" t="s">
        <v>137</v>
      </c>
    </row>
    <row r="26" spans="1:90">
      <c r="A26" t="s">
        <v>462</v>
      </c>
      <c r="B26" t="str">
        <f t="shared" si="0"/>
        <v>Hector Fabian Reyes Lizama</v>
      </c>
      <c r="C26" s="7" t="s">
        <v>463</v>
      </c>
      <c r="D26" s="7" t="s">
        <v>160</v>
      </c>
      <c r="E26" s="7" t="s">
        <v>464</v>
      </c>
      <c r="F26" s="7" t="s">
        <v>94</v>
      </c>
      <c r="G26" s="8">
        <v>24829</v>
      </c>
      <c r="H26" t="s">
        <v>95</v>
      </c>
      <c r="I26" t="s">
        <v>96</v>
      </c>
      <c r="L26" s="7" t="s">
        <v>296</v>
      </c>
      <c r="M26" t="s">
        <v>99</v>
      </c>
      <c r="N26" t="s">
        <v>100</v>
      </c>
      <c r="O26" t="s">
        <v>144</v>
      </c>
      <c r="P26" t="s">
        <v>145</v>
      </c>
      <c r="Q26" s="8">
        <v>45320</v>
      </c>
      <c r="S26" t="s">
        <v>465</v>
      </c>
      <c r="T26" t="s">
        <v>135</v>
      </c>
      <c r="U26" s="9" t="s">
        <v>298</v>
      </c>
      <c r="V26" s="9" t="s">
        <v>107</v>
      </c>
      <c r="W26" s="9" t="s">
        <v>107</v>
      </c>
      <c r="X26" t="s">
        <v>148</v>
      </c>
      <c r="Z26" t="s">
        <v>110</v>
      </c>
      <c r="AA26" t="s">
        <v>111</v>
      </c>
      <c r="AD26" t="s">
        <v>112</v>
      </c>
      <c r="AE26" t="s">
        <v>113</v>
      </c>
      <c r="AF26" t="s">
        <v>466</v>
      </c>
      <c r="AG26" t="s">
        <v>467</v>
      </c>
      <c r="AH26" t="s">
        <v>468</v>
      </c>
      <c r="AI26" t="s">
        <v>469</v>
      </c>
      <c r="AJ26" t="s">
        <v>470</v>
      </c>
      <c r="AK26" t="s">
        <v>471</v>
      </c>
      <c r="AL26" t="s">
        <v>472</v>
      </c>
      <c r="AM26" t="s">
        <v>473</v>
      </c>
      <c r="AN26" t="s">
        <v>462</v>
      </c>
      <c r="AO26" t="s">
        <v>119</v>
      </c>
      <c r="AP26">
        <v>7.0000000000000007E-2</v>
      </c>
      <c r="AQ26" t="s">
        <v>120</v>
      </c>
      <c r="AR26" t="s">
        <v>121</v>
      </c>
      <c r="AS26" t="s">
        <v>122</v>
      </c>
      <c r="AT26" t="s">
        <v>474</v>
      </c>
      <c r="AU26" t="s">
        <v>475</v>
      </c>
      <c r="AV26" t="s">
        <v>125</v>
      </c>
      <c r="AW26" t="s">
        <v>126</v>
      </c>
      <c r="AZ26" s="8"/>
      <c r="BA26" t="s">
        <v>127</v>
      </c>
      <c r="BF26" t="s">
        <v>100</v>
      </c>
      <c r="BG26" t="s">
        <v>145</v>
      </c>
      <c r="BH26" s="9" t="s">
        <v>128</v>
      </c>
      <c r="BJ26" t="s">
        <v>129</v>
      </c>
      <c r="BL26">
        <v>5</v>
      </c>
      <c r="BM26">
        <v>44</v>
      </c>
      <c r="BN26" t="s">
        <v>131</v>
      </c>
      <c r="BP26" t="s">
        <v>156</v>
      </c>
      <c r="BQ26" s="7" t="s">
        <v>157</v>
      </c>
      <c r="BR26" t="s">
        <v>134</v>
      </c>
      <c r="BS26" t="s">
        <v>135</v>
      </c>
      <c r="BT26" t="s">
        <v>135</v>
      </c>
      <c r="BX26" t="s">
        <v>136</v>
      </c>
    </row>
    <row r="27" spans="1:90">
      <c r="A27" t="s">
        <v>476</v>
      </c>
      <c r="B27" t="str">
        <f t="shared" si="0"/>
        <v>Hugo Enrique Espinoza Cornejo</v>
      </c>
      <c r="C27" s="7" t="s">
        <v>477</v>
      </c>
      <c r="D27" s="7" t="s">
        <v>380</v>
      </c>
      <c r="E27" s="7" t="s">
        <v>478</v>
      </c>
      <c r="F27" s="7" t="s">
        <v>94</v>
      </c>
      <c r="G27" s="8">
        <v>26544</v>
      </c>
      <c r="H27" t="s">
        <v>95</v>
      </c>
      <c r="I27" t="s">
        <v>96</v>
      </c>
      <c r="L27" s="7" t="s">
        <v>98</v>
      </c>
      <c r="M27" t="s">
        <v>99</v>
      </c>
      <c r="N27" t="s">
        <v>100</v>
      </c>
      <c r="O27" t="s">
        <v>101</v>
      </c>
      <c r="P27" t="s">
        <v>102</v>
      </c>
      <c r="Q27" s="8">
        <v>45870</v>
      </c>
      <c r="R27" t="s">
        <v>479</v>
      </c>
      <c r="S27" t="s">
        <v>480</v>
      </c>
      <c r="T27" t="s">
        <v>105</v>
      </c>
      <c r="U27" s="9" t="s">
        <v>106</v>
      </c>
      <c r="V27" s="9" t="s">
        <v>107</v>
      </c>
      <c r="W27" s="9" t="s">
        <v>108</v>
      </c>
      <c r="X27" t="s">
        <v>169</v>
      </c>
      <c r="Z27" t="s">
        <v>110</v>
      </c>
      <c r="AA27" t="s">
        <v>111</v>
      </c>
      <c r="AD27" t="s">
        <v>112</v>
      </c>
      <c r="AE27" t="s">
        <v>113</v>
      </c>
      <c r="AF27" t="s">
        <v>300</v>
      </c>
      <c r="AG27" t="s">
        <v>481</v>
      </c>
      <c r="AJ27" t="s">
        <v>482</v>
      </c>
      <c r="AM27" t="s">
        <v>483</v>
      </c>
      <c r="AN27" t="s">
        <v>476</v>
      </c>
      <c r="AO27" t="s">
        <v>119</v>
      </c>
      <c r="AP27">
        <v>7.0000000000000007E-2</v>
      </c>
      <c r="AR27" t="s">
        <v>121</v>
      </c>
      <c r="AS27" t="s">
        <v>122</v>
      </c>
      <c r="AT27" t="s">
        <v>123</v>
      </c>
      <c r="AU27" t="s">
        <v>484</v>
      </c>
      <c r="AV27" t="s">
        <v>125</v>
      </c>
      <c r="AW27" t="s">
        <v>126</v>
      </c>
      <c r="AZ27" s="8"/>
      <c r="BA27" t="s">
        <v>127</v>
      </c>
      <c r="BF27" t="s">
        <v>100</v>
      </c>
      <c r="BG27" t="s">
        <v>102</v>
      </c>
      <c r="BH27" s="9" t="s">
        <v>128</v>
      </c>
      <c r="BJ27" t="s">
        <v>129</v>
      </c>
      <c r="BK27" t="s">
        <v>130</v>
      </c>
      <c r="BL27">
        <v>5</v>
      </c>
      <c r="BM27">
        <v>44</v>
      </c>
      <c r="BN27" t="s">
        <v>131</v>
      </c>
      <c r="BP27" t="s">
        <v>132</v>
      </c>
      <c r="BQ27" s="7" t="s">
        <v>133</v>
      </c>
      <c r="BR27" t="s">
        <v>134</v>
      </c>
      <c r="BS27" t="s">
        <v>135</v>
      </c>
      <c r="BT27" t="s">
        <v>135</v>
      </c>
      <c r="CG27" t="s">
        <v>137</v>
      </c>
    </row>
    <row r="28" spans="1:90" s="5" customFormat="1">
      <c r="A28" t="s">
        <v>485</v>
      </c>
      <c r="B28" s="6" t="str">
        <f t="shared" si="0"/>
        <v>Jesús Gil Juarez</v>
      </c>
      <c r="C28" s="7" t="s">
        <v>486</v>
      </c>
      <c r="D28" s="7" t="s">
        <v>487</v>
      </c>
      <c r="E28" s="7" t="s">
        <v>488</v>
      </c>
      <c r="F28" s="7" t="s">
        <v>94</v>
      </c>
      <c r="G28" s="8">
        <v>32393</v>
      </c>
      <c r="H28" t="s">
        <v>367</v>
      </c>
      <c r="I28" t="s">
        <v>96</v>
      </c>
      <c r="J28" t="s">
        <v>97</v>
      </c>
      <c r="K28"/>
      <c r="L28" s="7" t="s">
        <v>296</v>
      </c>
      <c r="M28" t="s">
        <v>99</v>
      </c>
      <c r="N28" t="s">
        <v>100</v>
      </c>
      <c r="O28" t="s">
        <v>144</v>
      </c>
      <c r="P28" t="s">
        <v>145</v>
      </c>
      <c r="Q28" s="8">
        <v>46113</v>
      </c>
      <c r="R28"/>
      <c r="S28" t="s">
        <v>268</v>
      </c>
      <c r="T28" t="s">
        <v>105</v>
      </c>
      <c r="U28" s="9" t="s">
        <v>298</v>
      </c>
      <c r="V28" s="9" t="s">
        <v>107</v>
      </c>
      <c r="W28" s="9" t="s">
        <v>107</v>
      </c>
      <c r="X28" t="s">
        <v>169</v>
      </c>
      <c r="Y28"/>
      <c r="Z28" t="s">
        <v>110</v>
      </c>
      <c r="AA28" t="s">
        <v>111</v>
      </c>
      <c r="AB28"/>
      <c r="AC28"/>
      <c r="AD28" t="s">
        <v>112</v>
      </c>
      <c r="AE28" t="s">
        <v>113</v>
      </c>
      <c r="AF28" t="s">
        <v>113</v>
      </c>
      <c r="AG28" t="s">
        <v>489</v>
      </c>
      <c r="AH28"/>
      <c r="AI28"/>
      <c r="AJ28" t="s">
        <v>490</v>
      </c>
      <c r="AK28"/>
      <c r="AL28"/>
      <c r="AM28" t="s">
        <v>491</v>
      </c>
      <c r="AN28" t="s">
        <v>485</v>
      </c>
      <c r="AO28" t="s">
        <v>119</v>
      </c>
      <c r="AP28">
        <v>7.0000000000000007E-2</v>
      </c>
      <c r="AQ28" t="s">
        <v>120</v>
      </c>
      <c r="AR28" t="s">
        <v>194</v>
      </c>
      <c r="AS28" t="s">
        <v>122</v>
      </c>
      <c r="AT28" t="s">
        <v>275</v>
      </c>
      <c r="AU28" t="s">
        <v>492</v>
      </c>
      <c r="AV28" t="s">
        <v>125</v>
      </c>
      <c r="AW28" t="s">
        <v>126</v>
      </c>
      <c r="AX28"/>
      <c r="AY28"/>
      <c r="AZ28" s="8">
        <v>46203</v>
      </c>
      <c r="BA28" t="s">
        <v>222</v>
      </c>
      <c r="BB28"/>
      <c r="BC28"/>
      <c r="BD28"/>
      <c r="BE28"/>
      <c r="BF28" t="s">
        <v>100</v>
      </c>
      <c r="BG28" t="s">
        <v>145</v>
      </c>
      <c r="BH28" s="9" t="s">
        <v>128</v>
      </c>
      <c r="BI28"/>
      <c r="BJ28" t="s">
        <v>129</v>
      </c>
      <c r="BK28" t="s">
        <v>130</v>
      </c>
      <c r="BL28">
        <v>5</v>
      </c>
      <c r="BM28">
        <v>42</v>
      </c>
      <c r="BN28" t="s">
        <v>131</v>
      </c>
      <c r="BO28"/>
      <c r="BP28" t="s">
        <v>156</v>
      </c>
      <c r="BQ28" s="7" t="s">
        <v>157</v>
      </c>
      <c r="BR28" t="s">
        <v>134</v>
      </c>
      <c r="BS28" t="s">
        <v>135</v>
      </c>
      <c r="BT28" t="s">
        <v>105</v>
      </c>
      <c r="BU28"/>
      <c r="BV28"/>
      <c r="BW28"/>
      <c r="BX28" t="s">
        <v>136</v>
      </c>
      <c r="BY28"/>
      <c r="BZ28"/>
      <c r="CA28"/>
      <c r="CB28"/>
      <c r="CC28"/>
      <c r="CD28"/>
      <c r="CE28"/>
      <c r="CF28"/>
      <c r="CG28" t="s">
        <v>137</v>
      </c>
      <c r="CH28"/>
      <c r="CI28"/>
      <c r="CJ28"/>
      <c r="CK28"/>
      <c r="CL28"/>
    </row>
    <row r="29" spans="1:90">
      <c r="A29" t="s">
        <v>493</v>
      </c>
      <c r="B29" t="str">
        <f t="shared" si="0"/>
        <v>Joaquin Guillermo Matus Galindo</v>
      </c>
      <c r="C29" s="7" t="s">
        <v>494</v>
      </c>
      <c r="D29" s="7" t="s">
        <v>495</v>
      </c>
      <c r="E29" s="7" t="s">
        <v>496</v>
      </c>
      <c r="F29" s="7" t="s">
        <v>94</v>
      </c>
      <c r="G29" s="8">
        <v>37418</v>
      </c>
      <c r="H29" t="s">
        <v>95</v>
      </c>
      <c r="I29" t="s">
        <v>96</v>
      </c>
      <c r="J29" t="s">
        <v>97</v>
      </c>
      <c r="L29" s="7" t="s">
        <v>98</v>
      </c>
      <c r="M29" t="s">
        <v>99</v>
      </c>
      <c r="N29" t="s">
        <v>100</v>
      </c>
      <c r="O29" t="s">
        <v>101</v>
      </c>
      <c r="P29" t="s">
        <v>102</v>
      </c>
      <c r="Q29" s="8">
        <v>45497</v>
      </c>
      <c r="R29" t="s">
        <v>314</v>
      </c>
      <c r="S29" t="s">
        <v>497</v>
      </c>
      <c r="T29" t="s">
        <v>105</v>
      </c>
      <c r="U29" s="9" t="s">
        <v>106</v>
      </c>
      <c r="V29" s="9" t="s">
        <v>107</v>
      </c>
      <c r="W29" s="9" t="s">
        <v>108</v>
      </c>
      <c r="X29" t="s">
        <v>201</v>
      </c>
      <c r="Z29" t="s">
        <v>110</v>
      </c>
      <c r="AA29" t="s">
        <v>111</v>
      </c>
      <c r="AD29" t="s">
        <v>112</v>
      </c>
      <c r="AE29" t="s">
        <v>113</v>
      </c>
      <c r="AF29" t="s">
        <v>114</v>
      </c>
      <c r="AG29" t="s">
        <v>212</v>
      </c>
      <c r="AH29" t="s">
        <v>498</v>
      </c>
      <c r="AJ29" t="s">
        <v>499</v>
      </c>
      <c r="AL29" t="s">
        <v>500</v>
      </c>
      <c r="AM29" t="s">
        <v>501</v>
      </c>
      <c r="AN29" t="s">
        <v>493</v>
      </c>
      <c r="AO29" t="s">
        <v>119</v>
      </c>
      <c r="AP29">
        <v>7.0000000000000007E-2</v>
      </c>
      <c r="AQ29" t="s">
        <v>120</v>
      </c>
      <c r="AR29" t="s">
        <v>194</v>
      </c>
      <c r="AS29" t="s">
        <v>122</v>
      </c>
      <c r="AT29" t="s">
        <v>208</v>
      </c>
      <c r="AU29" t="s">
        <v>502</v>
      </c>
      <c r="AV29" t="s">
        <v>125</v>
      </c>
      <c r="AW29" t="s">
        <v>126</v>
      </c>
      <c r="AZ29" s="8"/>
      <c r="BA29" t="s">
        <v>127</v>
      </c>
      <c r="BF29" t="s">
        <v>100</v>
      </c>
      <c r="BG29" t="s">
        <v>102</v>
      </c>
      <c r="BH29" s="9" t="s">
        <v>128</v>
      </c>
      <c r="BJ29" t="s">
        <v>129</v>
      </c>
      <c r="BL29">
        <v>5</v>
      </c>
      <c r="BM29">
        <v>44</v>
      </c>
      <c r="BN29" t="s">
        <v>131</v>
      </c>
      <c r="BP29" t="s">
        <v>132</v>
      </c>
      <c r="BQ29" s="7" t="s">
        <v>133</v>
      </c>
      <c r="BR29" t="s">
        <v>134</v>
      </c>
      <c r="BS29" t="s">
        <v>135</v>
      </c>
      <c r="BT29" t="s">
        <v>135</v>
      </c>
    </row>
    <row r="30" spans="1:90">
      <c r="A30" t="s">
        <v>503</v>
      </c>
      <c r="B30" t="str">
        <f t="shared" si="0"/>
        <v>Jorge Hernan Vergara Diaz</v>
      </c>
      <c r="C30" s="7" t="s">
        <v>504</v>
      </c>
      <c r="D30" s="7" t="s">
        <v>505</v>
      </c>
      <c r="E30" s="7" t="s">
        <v>506</v>
      </c>
      <c r="F30" s="7" t="s">
        <v>94</v>
      </c>
      <c r="G30" s="8">
        <v>25041</v>
      </c>
      <c r="H30" t="s">
        <v>95</v>
      </c>
      <c r="I30" t="s">
        <v>96</v>
      </c>
      <c r="J30" t="s">
        <v>182</v>
      </c>
      <c r="L30" s="7" t="s">
        <v>507</v>
      </c>
      <c r="M30" t="s">
        <v>99</v>
      </c>
      <c r="N30" t="s">
        <v>100</v>
      </c>
      <c r="O30" t="s">
        <v>164</v>
      </c>
      <c r="P30" t="s">
        <v>165</v>
      </c>
      <c r="Q30" s="8">
        <v>45659</v>
      </c>
      <c r="R30" t="s">
        <v>508</v>
      </c>
      <c r="S30" t="s">
        <v>104</v>
      </c>
      <c r="T30" t="s">
        <v>135</v>
      </c>
      <c r="U30" s="9" t="s">
        <v>186</v>
      </c>
      <c r="V30" s="9" t="s">
        <v>107</v>
      </c>
      <c r="W30" s="9" t="s">
        <v>108</v>
      </c>
      <c r="X30" t="s">
        <v>509</v>
      </c>
      <c r="Z30" t="s">
        <v>110</v>
      </c>
      <c r="AA30" t="s">
        <v>111</v>
      </c>
      <c r="AD30" t="s">
        <v>112</v>
      </c>
      <c r="AE30" t="s">
        <v>113</v>
      </c>
      <c r="AF30" t="s">
        <v>510</v>
      </c>
      <c r="AG30" t="s">
        <v>511</v>
      </c>
      <c r="AH30" t="s">
        <v>512</v>
      </c>
      <c r="AJ30" t="s">
        <v>513</v>
      </c>
      <c r="AM30" t="s">
        <v>514</v>
      </c>
      <c r="AN30" t="s">
        <v>503</v>
      </c>
      <c r="AO30" t="s">
        <v>119</v>
      </c>
      <c r="AP30">
        <v>7.0000000000000007E-2</v>
      </c>
      <c r="AQ30" t="s">
        <v>120</v>
      </c>
      <c r="AR30" t="s">
        <v>121</v>
      </c>
      <c r="AS30" t="s">
        <v>122</v>
      </c>
      <c r="AT30" t="s">
        <v>460</v>
      </c>
      <c r="AU30" t="s">
        <v>515</v>
      </c>
      <c r="AV30" t="s">
        <v>125</v>
      </c>
      <c r="AW30" t="s">
        <v>126</v>
      </c>
      <c r="AZ30" s="8"/>
      <c r="BA30" t="s">
        <v>127</v>
      </c>
      <c r="BF30" t="s">
        <v>100</v>
      </c>
      <c r="BG30" t="s">
        <v>165</v>
      </c>
      <c r="BH30" s="9" t="s">
        <v>128</v>
      </c>
      <c r="BJ30" t="s">
        <v>129</v>
      </c>
      <c r="BK30" t="s">
        <v>130</v>
      </c>
      <c r="BL30">
        <v>5</v>
      </c>
      <c r="BM30">
        <v>44</v>
      </c>
      <c r="BN30" t="s">
        <v>131</v>
      </c>
      <c r="BP30" t="s">
        <v>175</v>
      </c>
      <c r="BQ30" s="7" t="s">
        <v>176</v>
      </c>
      <c r="BR30" t="s">
        <v>134</v>
      </c>
      <c r="BS30" t="s">
        <v>135</v>
      </c>
      <c r="BT30" t="s">
        <v>135</v>
      </c>
      <c r="BX30" t="s">
        <v>136</v>
      </c>
      <c r="CG30" t="s">
        <v>137</v>
      </c>
      <c r="CL30" t="s">
        <v>138</v>
      </c>
    </row>
    <row r="31" spans="1:90">
      <c r="A31" t="s">
        <v>516</v>
      </c>
      <c r="B31" t="str">
        <f t="shared" si="0"/>
        <v>Jorge Luis Washington Cordova</v>
      </c>
      <c r="C31" s="7" t="s">
        <v>517</v>
      </c>
      <c r="D31" s="7" t="s">
        <v>518</v>
      </c>
      <c r="E31" s="7" t="s">
        <v>519</v>
      </c>
      <c r="F31" s="7" t="s">
        <v>94</v>
      </c>
      <c r="G31" s="8">
        <v>36940</v>
      </c>
      <c r="H31" t="s">
        <v>95</v>
      </c>
      <c r="I31" t="s">
        <v>96</v>
      </c>
      <c r="J31" t="s">
        <v>182</v>
      </c>
      <c r="L31" s="7" t="s">
        <v>520</v>
      </c>
      <c r="M31" t="s">
        <v>99</v>
      </c>
      <c r="N31" t="s">
        <v>100</v>
      </c>
      <c r="O31" t="s">
        <v>144</v>
      </c>
      <c r="P31" t="s">
        <v>145</v>
      </c>
      <c r="Q31" s="8">
        <v>45265</v>
      </c>
      <c r="S31" t="s">
        <v>521</v>
      </c>
      <c r="T31" t="s">
        <v>105</v>
      </c>
      <c r="U31" s="9" t="s">
        <v>241</v>
      </c>
      <c r="V31" s="9" t="s">
        <v>107</v>
      </c>
      <c r="W31" s="9" t="s">
        <v>108</v>
      </c>
      <c r="X31" t="s">
        <v>201</v>
      </c>
      <c r="Z31" t="s">
        <v>110</v>
      </c>
      <c r="AA31" t="s">
        <v>111</v>
      </c>
      <c r="AD31" t="s">
        <v>112</v>
      </c>
      <c r="AE31" t="s">
        <v>113</v>
      </c>
      <c r="AF31" t="s">
        <v>114</v>
      </c>
      <c r="AG31" t="s">
        <v>522</v>
      </c>
      <c r="AH31" t="s">
        <v>523</v>
      </c>
      <c r="AJ31" t="s">
        <v>524</v>
      </c>
      <c r="AL31" t="s">
        <v>525</v>
      </c>
      <c r="AM31" t="s">
        <v>526</v>
      </c>
      <c r="AN31" t="s">
        <v>516</v>
      </c>
      <c r="AO31" t="s">
        <v>119</v>
      </c>
      <c r="AP31">
        <v>7.0000000000000007E-2</v>
      </c>
      <c r="AQ31" t="s">
        <v>120</v>
      </c>
      <c r="AR31" t="s">
        <v>194</v>
      </c>
      <c r="AS31" t="s">
        <v>122</v>
      </c>
      <c r="AT31" t="s">
        <v>275</v>
      </c>
      <c r="AU31" t="s">
        <v>527</v>
      </c>
      <c r="AV31" t="s">
        <v>125</v>
      </c>
      <c r="AW31" t="s">
        <v>126</v>
      </c>
      <c r="AZ31" s="8"/>
      <c r="BA31" t="s">
        <v>127</v>
      </c>
      <c r="BF31" t="s">
        <v>100</v>
      </c>
      <c r="BG31" t="s">
        <v>145</v>
      </c>
      <c r="BH31" s="9" t="s">
        <v>128</v>
      </c>
      <c r="BJ31" t="s">
        <v>129</v>
      </c>
      <c r="BL31">
        <v>5</v>
      </c>
      <c r="BM31">
        <v>44</v>
      </c>
      <c r="BN31" t="s">
        <v>131</v>
      </c>
      <c r="BP31" t="s">
        <v>156</v>
      </c>
      <c r="BQ31" s="7" t="s">
        <v>157</v>
      </c>
      <c r="BR31" t="s">
        <v>134</v>
      </c>
      <c r="BS31" t="s">
        <v>135</v>
      </c>
      <c r="BT31" t="s">
        <v>135</v>
      </c>
    </row>
    <row r="32" spans="1:90">
      <c r="A32" t="s">
        <v>528</v>
      </c>
      <c r="B32" t="str">
        <f t="shared" si="0"/>
        <v>Jorge Luis Washington Washington</v>
      </c>
      <c r="C32" s="7" t="s">
        <v>517</v>
      </c>
      <c r="D32" s="7" t="s">
        <v>518</v>
      </c>
      <c r="E32" s="7" t="s">
        <v>518</v>
      </c>
      <c r="F32" s="7" t="s">
        <v>94</v>
      </c>
      <c r="G32" s="8">
        <v>26116</v>
      </c>
      <c r="H32" t="s">
        <v>95</v>
      </c>
      <c r="I32" t="s">
        <v>96</v>
      </c>
      <c r="L32" s="7" t="s">
        <v>529</v>
      </c>
      <c r="M32" t="s">
        <v>99</v>
      </c>
      <c r="N32" t="s">
        <v>100</v>
      </c>
      <c r="O32" t="s">
        <v>101</v>
      </c>
      <c r="P32" t="s">
        <v>102</v>
      </c>
      <c r="Q32" s="8">
        <v>45222</v>
      </c>
      <c r="S32" t="s">
        <v>530</v>
      </c>
      <c r="T32" t="s">
        <v>105</v>
      </c>
      <c r="U32" s="9" t="s">
        <v>531</v>
      </c>
      <c r="V32" s="9" t="s">
        <v>107</v>
      </c>
      <c r="W32" s="9" t="s">
        <v>108</v>
      </c>
      <c r="X32" t="s">
        <v>409</v>
      </c>
      <c r="Z32" t="s">
        <v>110</v>
      </c>
      <c r="AA32" t="s">
        <v>111</v>
      </c>
      <c r="AD32" t="s">
        <v>112</v>
      </c>
      <c r="AE32" t="s">
        <v>113</v>
      </c>
      <c r="AF32" t="s">
        <v>114</v>
      </c>
      <c r="AG32" t="s">
        <v>532</v>
      </c>
      <c r="AH32" t="s">
        <v>523</v>
      </c>
      <c r="AJ32" t="s">
        <v>533</v>
      </c>
      <c r="AL32" t="s">
        <v>534</v>
      </c>
      <c r="AM32" t="s">
        <v>535</v>
      </c>
      <c r="AN32" t="s">
        <v>528</v>
      </c>
      <c r="AO32" t="s">
        <v>119</v>
      </c>
      <c r="AP32">
        <v>7.0000000000000007E-2</v>
      </c>
      <c r="AQ32" t="s">
        <v>120</v>
      </c>
      <c r="AR32" t="s">
        <v>121</v>
      </c>
      <c r="AS32" t="s">
        <v>122</v>
      </c>
      <c r="AT32" t="s">
        <v>536</v>
      </c>
      <c r="AU32" t="s">
        <v>537</v>
      </c>
      <c r="AV32" t="s">
        <v>125</v>
      </c>
      <c r="AW32" t="s">
        <v>126</v>
      </c>
      <c r="AZ32" s="8"/>
      <c r="BA32" t="s">
        <v>127</v>
      </c>
      <c r="BF32" t="s">
        <v>100</v>
      </c>
      <c r="BG32" t="s">
        <v>102</v>
      </c>
      <c r="BH32" s="9" t="s">
        <v>128</v>
      </c>
      <c r="BJ32" t="s">
        <v>129</v>
      </c>
      <c r="BL32">
        <v>5</v>
      </c>
      <c r="BM32">
        <v>44</v>
      </c>
      <c r="BN32" t="s">
        <v>131</v>
      </c>
      <c r="BP32" t="s">
        <v>429</v>
      </c>
      <c r="BQ32" s="7" t="s">
        <v>335</v>
      </c>
      <c r="BR32" t="s">
        <v>134</v>
      </c>
      <c r="BS32" t="s">
        <v>135</v>
      </c>
      <c r="BT32" t="s">
        <v>135</v>
      </c>
    </row>
    <row r="33" spans="1:90">
      <c r="A33" t="s">
        <v>176</v>
      </c>
      <c r="B33" t="str">
        <f t="shared" ref="B33:B54" si="1">C33&amp;" "&amp;D33&amp;" "&amp;E33</f>
        <v>Jose Alejandro Oyarce Sepulveda</v>
      </c>
      <c r="C33" s="7" t="s">
        <v>538</v>
      </c>
      <c r="D33" s="7" t="s">
        <v>539</v>
      </c>
      <c r="E33" s="7" t="s">
        <v>540</v>
      </c>
      <c r="F33" s="7" t="s">
        <v>94</v>
      </c>
      <c r="G33" s="8">
        <v>32278</v>
      </c>
      <c r="H33" t="s">
        <v>95</v>
      </c>
      <c r="I33" t="s">
        <v>96</v>
      </c>
      <c r="J33" t="s">
        <v>97</v>
      </c>
      <c r="K33" t="s">
        <v>541</v>
      </c>
      <c r="L33" s="7" t="s">
        <v>542</v>
      </c>
      <c r="M33" t="s">
        <v>99</v>
      </c>
      <c r="N33" t="s">
        <v>100</v>
      </c>
      <c r="O33" t="s">
        <v>164</v>
      </c>
      <c r="P33" t="s">
        <v>165</v>
      </c>
      <c r="Q33" s="8">
        <v>44916</v>
      </c>
      <c r="S33" t="s">
        <v>543</v>
      </c>
      <c r="T33" t="s">
        <v>105</v>
      </c>
      <c r="U33" s="9" t="s">
        <v>544</v>
      </c>
      <c r="V33" s="9" t="s">
        <v>107</v>
      </c>
      <c r="W33" s="9" t="s">
        <v>107</v>
      </c>
      <c r="X33" t="s">
        <v>169</v>
      </c>
      <c r="Z33" t="s">
        <v>187</v>
      </c>
      <c r="AA33" t="s">
        <v>111</v>
      </c>
      <c r="AD33" t="s">
        <v>112</v>
      </c>
      <c r="AE33" t="s">
        <v>113</v>
      </c>
      <c r="AF33" t="s">
        <v>545</v>
      </c>
      <c r="AG33" t="s">
        <v>546</v>
      </c>
      <c r="AH33" t="s">
        <v>547</v>
      </c>
      <c r="AI33" t="s">
        <v>548</v>
      </c>
      <c r="AJ33" t="s">
        <v>549</v>
      </c>
      <c r="AL33" t="s">
        <v>550</v>
      </c>
      <c r="AM33" t="s">
        <v>551</v>
      </c>
      <c r="AN33" t="s">
        <v>176</v>
      </c>
      <c r="AO33" t="s">
        <v>193</v>
      </c>
      <c r="AP33">
        <v>6.2279999999999998</v>
      </c>
      <c r="AQ33" t="s">
        <v>120</v>
      </c>
      <c r="AR33" t="s">
        <v>194</v>
      </c>
      <c r="AS33" t="s">
        <v>122</v>
      </c>
      <c r="AT33" t="s">
        <v>401</v>
      </c>
      <c r="AU33" t="s">
        <v>552</v>
      </c>
      <c r="AV33" t="s">
        <v>125</v>
      </c>
      <c r="AW33" t="s">
        <v>126</v>
      </c>
      <c r="AZ33" s="8"/>
      <c r="BA33" t="s">
        <v>127</v>
      </c>
      <c r="BF33" t="s">
        <v>100</v>
      </c>
      <c r="BG33" t="s">
        <v>165</v>
      </c>
      <c r="BH33" s="9" t="s">
        <v>128</v>
      </c>
      <c r="BJ33" t="s">
        <v>129</v>
      </c>
      <c r="BL33">
        <v>5</v>
      </c>
      <c r="BM33">
        <v>44</v>
      </c>
      <c r="BN33" t="s">
        <v>131</v>
      </c>
      <c r="BP33" t="s">
        <v>250</v>
      </c>
      <c r="BQ33" s="7" t="s">
        <v>251</v>
      </c>
      <c r="BR33" t="s">
        <v>134</v>
      </c>
      <c r="BS33" t="s">
        <v>135</v>
      </c>
      <c r="BT33" t="s">
        <v>135</v>
      </c>
    </row>
    <row r="34" spans="1:90">
      <c r="A34" t="s">
        <v>553</v>
      </c>
      <c r="B34" t="str">
        <f t="shared" si="1"/>
        <v>Jose Antonio Traslaviña Pinto</v>
      </c>
      <c r="C34" s="7" t="s">
        <v>554</v>
      </c>
      <c r="D34" s="7" t="s">
        <v>555</v>
      </c>
      <c r="E34" s="7" t="s">
        <v>556</v>
      </c>
      <c r="F34" s="7" t="s">
        <v>94</v>
      </c>
      <c r="G34" s="8">
        <v>25225</v>
      </c>
      <c r="H34" t="s">
        <v>95</v>
      </c>
      <c r="I34" t="s">
        <v>96</v>
      </c>
      <c r="J34" t="s">
        <v>182</v>
      </c>
      <c r="L34" s="7" t="s">
        <v>281</v>
      </c>
      <c r="M34" t="s">
        <v>99</v>
      </c>
      <c r="N34" t="s">
        <v>100</v>
      </c>
      <c r="O34" t="s">
        <v>144</v>
      </c>
      <c r="P34" t="s">
        <v>145</v>
      </c>
      <c r="Q34" s="8">
        <v>46083</v>
      </c>
      <c r="S34" t="s">
        <v>557</v>
      </c>
      <c r="T34" t="s">
        <v>105</v>
      </c>
      <c r="U34" s="9" t="s">
        <v>283</v>
      </c>
      <c r="V34" s="9" t="s">
        <v>107</v>
      </c>
      <c r="W34" s="9" t="s">
        <v>107</v>
      </c>
      <c r="X34" t="s">
        <v>299</v>
      </c>
      <c r="Z34" t="s">
        <v>110</v>
      </c>
      <c r="AA34" t="s">
        <v>111</v>
      </c>
      <c r="AD34" t="s">
        <v>112</v>
      </c>
      <c r="AE34" t="s">
        <v>558</v>
      </c>
      <c r="AF34" t="s">
        <v>558</v>
      </c>
      <c r="AG34" t="s">
        <v>559</v>
      </c>
      <c r="AJ34" t="s">
        <v>560</v>
      </c>
      <c r="AM34" t="s">
        <v>561</v>
      </c>
      <c r="AN34" t="s">
        <v>562</v>
      </c>
      <c r="AO34" t="s">
        <v>119</v>
      </c>
      <c r="AP34">
        <v>7.0000000000000007E-2</v>
      </c>
      <c r="AQ34" t="s">
        <v>120</v>
      </c>
      <c r="AR34" t="s">
        <v>121</v>
      </c>
      <c r="AS34" t="s">
        <v>122</v>
      </c>
      <c r="AT34" t="s">
        <v>401</v>
      </c>
      <c r="AU34" t="s">
        <v>563</v>
      </c>
      <c r="AV34" t="s">
        <v>125</v>
      </c>
      <c r="AW34" t="s">
        <v>126</v>
      </c>
      <c r="AZ34" s="8">
        <v>46173</v>
      </c>
      <c r="BA34" t="s">
        <v>222</v>
      </c>
      <c r="BB34" t="s">
        <v>376</v>
      </c>
      <c r="BF34" t="s">
        <v>100</v>
      </c>
      <c r="BG34" t="s">
        <v>145</v>
      </c>
      <c r="BH34" s="9" t="s">
        <v>128</v>
      </c>
      <c r="BJ34" t="s">
        <v>129</v>
      </c>
      <c r="BK34" t="s">
        <v>130</v>
      </c>
      <c r="BL34">
        <v>5</v>
      </c>
      <c r="BM34">
        <v>44</v>
      </c>
      <c r="BN34" t="s">
        <v>131</v>
      </c>
      <c r="BP34" t="s">
        <v>156</v>
      </c>
      <c r="BQ34" s="7" t="s">
        <v>157</v>
      </c>
      <c r="BR34" t="s">
        <v>134</v>
      </c>
      <c r="BS34" t="s">
        <v>135</v>
      </c>
      <c r="BT34" t="s">
        <v>135</v>
      </c>
      <c r="BX34" t="s">
        <v>136</v>
      </c>
      <c r="CG34" t="s">
        <v>137</v>
      </c>
    </row>
    <row r="35" spans="1:90">
      <c r="A35" t="s">
        <v>564</v>
      </c>
      <c r="B35" t="str">
        <f t="shared" si="1"/>
        <v>Justyn Aaron Seguel Cortes</v>
      </c>
      <c r="C35" s="7" t="s">
        <v>565</v>
      </c>
      <c r="D35" s="7" t="s">
        <v>566</v>
      </c>
      <c r="E35" s="7" t="s">
        <v>567</v>
      </c>
      <c r="F35" s="7" t="s">
        <v>94</v>
      </c>
      <c r="G35" s="8">
        <v>37290</v>
      </c>
      <c r="H35" t="s">
        <v>95</v>
      </c>
      <c r="I35" t="s">
        <v>96</v>
      </c>
      <c r="J35" t="s">
        <v>182</v>
      </c>
      <c r="L35" s="7" t="s">
        <v>98</v>
      </c>
      <c r="M35" t="s">
        <v>99</v>
      </c>
      <c r="N35" t="s">
        <v>100</v>
      </c>
      <c r="O35" t="s">
        <v>101</v>
      </c>
      <c r="P35" t="s">
        <v>102</v>
      </c>
      <c r="Q35" s="8">
        <v>45293</v>
      </c>
      <c r="S35" t="s">
        <v>568</v>
      </c>
      <c r="T35" t="s">
        <v>105</v>
      </c>
      <c r="U35" s="9" t="s">
        <v>106</v>
      </c>
      <c r="V35" s="9" t="s">
        <v>107</v>
      </c>
      <c r="W35" s="9" t="s">
        <v>108</v>
      </c>
      <c r="X35" t="s">
        <v>201</v>
      </c>
      <c r="Z35" t="s">
        <v>110</v>
      </c>
      <c r="AA35" t="s">
        <v>111</v>
      </c>
      <c r="AD35" t="s">
        <v>112</v>
      </c>
      <c r="AE35" t="s">
        <v>113</v>
      </c>
      <c r="AF35" t="s">
        <v>114</v>
      </c>
      <c r="AG35" t="s">
        <v>569</v>
      </c>
      <c r="AH35" t="s">
        <v>570</v>
      </c>
      <c r="AJ35" t="s">
        <v>571</v>
      </c>
      <c r="AM35" t="s">
        <v>572</v>
      </c>
      <c r="AN35" t="s">
        <v>564</v>
      </c>
      <c r="AO35" t="s">
        <v>119</v>
      </c>
      <c r="AP35">
        <v>7.0000000000000007E-2</v>
      </c>
      <c r="AQ35" t="s">
        <v>120</v>
      </c>
      <c r="AR35" t="s">
        <v>194</v>
      </c>
      <c r="AS35" t="s">
        <v>122</v>
      </c>
      <c r="AT35" t="s">
        <v>234</v>
      </c>
      <c r="AU35" t="s">
        <v>573</v>
      </c>
      <c r="AV35" t="s">
        <v>125</v>
      </c>
      <c r="AW35" t="s">
        <v>126</v>
      </c>
      <c r="AZ35" s="8"/>
      <c r="BA35" t="s">
        <v>127</v>
      </c>
      <c r="BF35" t="s">
        <v>100</v>
      </c>
      <c r="BG35" t="s">
        <v>102</v>
      </c>
      <c r="BH35" s="9" t="s">
        <v>128</v>
      </c>
      <c r="BJ35" t="s">
        <v>129</v>
      </c>
      <c r="BL35">
        <v>5</v>
      </c>
      <c r="BM35">
        <v>44</v>
      </c>
      <c r="BN35" t="s">
        <v>131</v>
      </c>
      <c r="BP35" t="s">
        <v>132</v>
      </c>
      <c r="BQ35" s="7" t="s">
        <v>133</v>
      </c>
      <c r="BR35" t="s">
        <v>134</v>
      </c>
      <c r="BS35" t="s">
        <v>135</v>
      </c>
      <c r="BT35" t="s">
        <v>135</v>
      </c>
    </row>
    <row r="36" spans="1:90">
      <c r="A36" t="s">
        <v>574</v>
      </c>
      <c r="B36" t="str">
        <f t="shared" si="1"/>
        <v>Leandro Eduardo Navarrete Pizarro</v>
      </c>
      <c r="C36" s="7" t="s">
        <v>575</v>
      </c>
      <c r="D36" s="7" t="s">
        <v>576</v>
      </c>
      <c r="E36" s="7" t="s">
        <v>577</v>
      </c>
      <c r="F36" s="7" t="s">
        <v>94</v>
      </c>
      <c r="G36" s="8">
        <v>27056</v>
      </c>
      <c r="H36" t="s">
        <v>95</v>
      </c>
      <c r="I36" t="s">
        <v>96</v>
      </c>
      <c r="J36" t="s">
        <v>182</v>
      </c>
      <c r="L36" s="7" t="s">
        <v>98</v>
      </c>
      <c r="M36" t="s">
        <v>99</v>
      </c>
      <c r="N36" t="s">
        <v>100</v>
      </c>
      <c r="O36" t="s">
        <v>101</v>
      </c>
      <c r="P36" t="s">
        <v>102</v>
      </c>
      <c r="Q36" s="8">
        <v>45659</v>
      </c>
      <c r="R36" t="s">
        <v>103</v>
      </c>
      <c r="S36" t="s">
        <v>104</v>
      </c>
      <c r="T36" t="s">
        <v>105</v>
      </c>
      <c r="U36" s="9" t="s">
        <v>106</v>
      </c>
      <c r="V36" s="9" t="s">
        <v>107</v>
      </c>
      <c r="W36" s="9" t="s">
        <v>108</v>
      </c>
      <c r="X36" t="s">
        <v>148</v>
      </c>
      <c r="Z36" t="s">
        <v>110</v>
      </c>
      <c r="AA36" t="s">
        <v>111</v>
      </c>
      <c r="AD36" t="s">
        <v>112</v>
      </c>
      <c r="AE36" t="s">
        <v>113</v>
      </c>
      <c r="AF36" t="s">
        <v>114</v>
      </c>
      <c r="AG36" t="s">
        <v>578</v>
      </c>
      <c r="AJ36" t="s">
        <v>579</v>
      </c>
      <c r="AM36" t="s">
        <v>580</v>
      </c>
      <c r="AN36" t="s">
        <v>581</v>
      </c>
      <c r="AO36" t="s">
        <v>193</v>
      </c>
      <c r="AP36">
        <v>7</v>
      </c>
      <c r="AQ36" t="s">
        <v>120</v>
      </c>
      <c r="AR36" t="s">
        <v>121</v>
      </c>
      <c r="AS36" t="s">
        <v>122</v>
      </c>
      <c r="AT36" t="s">
        <v>123</v>
      </c>
      <c r="AU36" t="s">
        <v>582</v>
      </c>
      <c r="AV36" t="s">
        <v>125</v>
      </c>
      <c r="AW36" t="s">
        <v>126</v>
      </c>
      <c r="AZ36" s="8"/>
      <c r="BA36" t="s">
        <v>127</v>
      </c>
      <c r="BF36" t="s">
        <v>100</v>
      </c>
      <c r="BG36" t="s">
        <v>102</v>
      </c>
      <c r="BH36" s="9" t="s">
        <v>128</v>
      </c>
      <c r="BJ36" t="s">
        <v>129</v>
      </c>
      <c r="BK36" t="s">
        <v>130</v>
      </c>
      <c r="BL36">
        <v>5</v>
      </c>
      <c r="BM36">
        <v>44</v>
      </c>
      <c r="BN36" t="s">
        <v>131</v>
      </c>
      <c r="BP36" t="s">
        <v>132</v>
      </c>
      <c r="BQ36" s="7" t="s">
        <v>133</v>
      </c>
      <c r="BR36" t="s">
        <v>134</v>
      </c>
      <c r="BS36" t="s">
        <v>135</v>
      </c>
      <c r="BT36" t="s">
        <v>135</v>
      </c>
      <c r="BX36" t="s">
        <v>136</v>
      </c>
      <c r="CG36" t="s">
        <v>137</v>
      </c>
      <c r="CL36" t="s">
        <v>138</v>
      </c>
    </row>
    <row r="37" spans="1:90">
      <c r="A37" t="s">
        <v>583</v>
      </c>
      <c r="B37" t="str">
        <f t="shared" si="1"/>
        <v>Leonardo Mauricio Antonio Maldonado Alegria</v>
      </c>
      <c r="C37" s="7" t="s">
        <v>584</v>
      </c>
      <c r="D37" s="7" t="s">
        <v>585</v>
      </c>
      <c r="E37" s="7" t="s">
        <v>586</v>
      </c>
      <c r="F37" s="7" t="s">
        <v>94</v>
      </c>
      <c r="G37" s="8">
        <v>34290</v>
      </c>
      <c r="H37" t="s">
        <v>95</v>
      </c>
      <c r="I37" t="s">
        <v>96</v>
      </c>
      <c r="J37" t="s">
        <v>97</v>
      </c>
      <c r="L37" s="7" t="s">
        <v>587</v>
      </c>
      <c r="M37" t="s">
        <v>99</v>
      </c>
      <c r="N37" t="s">
        <v>100</v>
      </c>
      <c r="O37" t="s">
        <v>144</v>
      </c>
      <c r="P37" t="s">
        <v>145</v>
      </c>
      <c r="Q37" s="8">
        <v>45369</v>
      </c>
      <c r="S37" t="s">
        <v>588</v>
      </c>
      <c r="T37" t="s">
        <v>105</v>
      </c>
      <c r="U37" s="9" t="s">
        <v>589</v>
      </c>
      <c r="V37" s="9" t="s">
        <v>107</v>
      </c>
      <c r="W37" s="9" t="s">
        <v>107</v>
      </c>
      <c r="X37" t="s">
        <v>169</v>
      </c>
      <c r="Z37" t="s">
        <v>110</v>
      </c>
      <c r="AA37" t="s">
        <v>111</v>
      </c>
      <c r="AD37" t="s">
        <v>112</v>
      </c>
      <c r="AE37" t="s">
        <v>113</v>
      </c>
      <c r="AF37" t="s">
        <v>590</v>
      </c>
      <c r="AG37" t="s">
        <v>591</v>
      </c>
      <c r="AH37" t="s">
        <v>592</v>
      </c>
      <c r="AI37" t="s">
        <v>593</v>
      </c>
      <c r="AJ37" t="s">
        <v>594</v>
      </c>
      <c r="AK37" t="s">
        <v>595</v>
      </c>
      <c r="AL37" t="s">
        <v>596</v>
      </c>
      <c r="AM37" t="s">
        <v>597</v>
      </c>
      <c r="AN37" t="s">
        <v>583</v>
      </c>
      <c r="AO37" t="s">
        <v>119</v>
      </c>
      <c r="AP37">
        <v>7.0000000000000007E-2</v>
      </c>
      <c r="AQ37" t="s">
        <v>120</v>
      </c>
      <c r="AR37" t="s">
        <v>121</v>
      </c>
      <c r="AS37" t="s">
        <v>122</v>
      </c>
      <c r="AT37" t="s">
        <v>123</v>
      </c>
      <c r="AU37" t="s">
        <v>598</v>
      </c>
      <c r="AV37" t="s">
        <v>125</v>
      </c>
      <c r="AW37" t="s">
        <v>126</v>
      </c>
      <c r="AZ37" s="8"/>
      <c r="BA37" t="s">
        <v>127</v>
      </c>
      <c r="BF37" t="s">
        <v>100</v>
      </c>
      <c r="BG37" t="s">
        <v>145</v>
      </c>
      <c r="BH37" s="9" t="s">
        <v>128</v>
      </c>
      <c r="BJ37" t="s">
        <v>129</v>
      </c>
      <c r="BL37">
        <v>5</v>
      </c>
      <c r="BM37">
        <v>44</v>
      </c>
      <c r="BN37" t="s">
        <v>131</v>
      </c>
      <c r="BP37" t="s">
        <v>156</v>
      </c>
      <c r="BQ37" s="7" t="s">
        <v>157</v>
      </c>
      <c r="BR37" t="s">
        <v>134</v>
      </c>
      <c r="BS37" t="s">
        <v>135</v>
      </c>
      <c r="BT37" t="s">
        <v>135</v>
      </c>
    </row>
    <row r="38" spans="1:90">
      <c r="A38" t="s">
        <v>599</v>
      </c>
      <c r="B38" t="str">
        <f t="shared" si="1"/>
        <v>Miguel Angel Duran Sanhueza</v>
      </c>
      <c r="C38" s="7" t="s">
        <v>600</v>
      </c>
      <c r="D38" s="7" t="s">
        <v>601</v>
      </c>
      <c r="E38" s="7" t="s">
        <v>602</v>
      </c>
      <c r="F38" s="7" t="s">
        <v>94</v>
      </c>
      <c r="G38" s="8">
        <v>26374</v>
      </c>
      <c r="H38" t="s">
        <v>95</v>
      </c>
      <c r="I38" t="s">
        <v>96</v>
      </c>
      <c r="J38" t="s">
        <v>182</v>
      </c>
      <c r="L38" s="7" t="s">
        <v>296</v>
      </c>
      <c r="M38" t="s">
        <v>99</v>
      </c>
      <c r="N38" t="s">
        <v>100</v>
      </c>
      <c r="O38" t="s">
        <v>144</v>
      </c>
      <c r="P38" t="s">
        <v>145</v>
      </c>
      <c r="Q38" s="8">
        <v>42583</v>
      </c>
      <c r="S38" t="s">
        <v>603</v>
      </c>
      <c r="T38" t="s">
        <v>105</v>
      </c>
      <c r="U38" s="9" t="s">
        <v>604</v>
      </c>
      <c r="V38" s="9" t="s">
        <v>107</v>
      </c>
      <c r="W38" s="9" t="s">
        <v>107</v>
      </c>
      <c r="X38" t="s">
        <v>509</v>
      </c>
      <c r="Z38" t="s">
        <v>242</v>
      </c>
      <c r="AA38" t="s">
        <v>111</v>
      </c>
      <c r="AD38" t="s">
        <v>605</v>
      </c>
      <c r="AE38" t="s">
        <v>606</v>
      </c>
      <c r="AF38" t="s">
        <v>606</v>
      </c>
      <c r="AG38" t="s">
        <v>607</v>
      </c>
      <c r="AH38" t="s">
        <v>608</v>
      </c>
      <c r="AJ38" t="s">
        <v>609</v>
      </c>
      <c r="AK38" t="s">
        <v>610</v>
      </c>
      <c r="AL38" t="s">
        <v>610</v>
      </c>
      <c r="AM38" t="s">
        <v>611</v>
      </c>
      <c r="AN38" t="s">
        <v>599</v>
      </c>
      <c r="AO38" t="s">
        <v>193</v>
      </c>
      <c r="AP38">
        <v>14.304</v>
      </c>
      <c r="AQ38" t="s">
        <v>120</v>
      </c>
      <c r="AR38" t="s">
        <v>194</v>
      </c>
      <c r="AS38" t="s">
        <v>122</v>
      </c>
      <c r="AT38" t="s">
        <v>123</v>
      </c>
      <c r="AU38" t="s">
        <v>612</v>
      </c>
      <c r="AV38" t="s">
        <v>125</v>
      </c>
      <c r="AW38" t="s">
        <v>126</v>
      </c>
      <c r="AZ38" s="8"/>
      <c r="BA38" t="s">
        <v>127</v>
      </c>
      <c r="BF38" t="s">
        <v>100</v>
      </c>
      <c r="BG38" t="s">
        <v>145</v>
      </c>
      <c r="BH38" s="9" t="s">
        <v>128</v>
      </c>
      <c r="BJ38" t="s">
        <v>129</v>
      </c>
      <c r="BL38">
        <v>5</v>
      </c>
      <c r="BM38">
        <v>44</v>
      </c>
      <c r="BN38" t="s">
        <v>131</v>
      </c>
      <c r="BP38" t="s">
        <v>156</v>
      </c>
      <c r="BQ38" s="7" t="s">
        <v>157</v>
      </c>
      <c r="BR38" t="s">
        <v>134</v>
      </c>
      <c r="BS38" t="s">
        <v>135</v>
      </c>
      <c r="BT38" t="s">
        <v>613</v>
      </c>
    </row>
    <row r="39" spans="1:90">
      <c r="A39" t="s">
        <v>614</v>
      </c>
      <c r="B39" t="str">
        <f t="shared" si="1"/>
        <v>Nicsa Ana Molina Fernandez</v>
      </c>
      <c r="C39" s="7" t="s">
        <v>615</v>
      </c>
      <c r="D39" s="7" t="s">
        <v>616</v>
      </c>
      <c r="E39" s="7" t="s">
        <v>617</v>
      </c>
      <c r="F39" s="7" t="s">
        <v>94</v>
      </c>
      <c r="G39" s="8">
        <v>27941</v>
      </c>
      <c r="H39" t="s">
        <v>95</v>
      </c>
      <c r="I39" t="s">
        <v>162</v>
      </c>
      <c r="J39" t="s">
        <v>97</v>
      </c>
      <c r="L39" s="7" t="s">
        <v>618</v>
      </c>
      <c r="M39" t="s">
        <v>99</v>
      </c>
      <c r="N39" t="s">
        <v>100</v>
      </c>
      <c r="O39" t="s">
        <v>101</v>
      </c>
      <c r="P39" t="s">
        <v>102</v>
      </c>
      <c r="Q39" s="8">
        <v>45852</v>
      </c>
      <c r="S39" t="s">
        <v>619</v>
      </c>
      <c r="T39" t="s">
        <v>105</v>
      </c>
      <c r="U39" s="9" t="s">
        <v>620</v>
      </c>
      <c r="V39" s="9" t="s">
        <v>107</v>
      </c>
      <c r="W39" s="9" t="s">
        <v>108</v>
      </c>
      <c r="X39" t="s">
        <v>148</v>
      </c>
      <c r="Z39" t="s">
        <v>110</v>
      </c>
      <c r="AA39" t="s">
        <v>111</v>
      </c>
      <c r="AD39" t="s">
        <v>112</v>
      </c>
      <c r="AE39" t="s">
        <v>113</v>
      </c>
      <c r="AF39" t="s">
        <v>114</v>
      </c>
      <c r="AG39" t="s">
        <v>621</v>
      </c>
      <c r="AJ39" t="s">
        <v>622</v>
      </c>
      <c r="AM39" t="s">
        <v>623</v>
      </c>
      <c r="AN39" t="s">
        <v>614</v>
      </c>
      <c r="AO39" t="s">
        <v>119</v>
      </c>
      <c r="AP39">
        <v>7.0000000000000007E-2</v>
      </c>
      <c r="AQ39" t="s">
        <v>120</v>
      </c>
      <c r="AR39" t="s">
        <v>194</v>
      </c>
      <c r="AS39" t="s">
        <v>122</v>
      </c>
      <c r="AT39" t="s">
        <v>208</v>
      </c>
      <c r="AU39" t="s">
        <v>624</v>
      </c>
      <c r="AV39" t="s">
        <v>125</v>
      </c>
      <c r="AW39" t="s">
        <v>126</v>
      </c>
      <c r="AZ39" s="8"/>
      <c r="BA39" t="s">
        <v>127</v>
      </c>
      <c r="BF39" t="s">
        <v>100</v>
      </c>
      <c r="BG39" t="s">
        <v>102</v>
      </c>
      <c r="BH39" s="9" t="s">
        <v>128</v>
      </c>
      <c r="BJ39" t="s">
        <v>129</v>
      </c>
      <c r="BK39" t="s">
        <v>130</v>
      </c>
      <c r="BL39">
        <v>5</v>
      </c>
      <c r="BM39">
        <v>44</v>
      </c>
      <c r="BN39" t="s">
        <v>131</v>
      </c>
      <c r="BP39" t="s">
        <v>429</v>
      </c>
      <c r="BQ39" s="7" t="s">
        <v>335</v>
      </c>
      <c r="BR39" t="s">
        <v>134</v>
      </c>
      <c r="BS39" t="s">
        <v>135</v>
      </c>
      <c r="BT39" t="s">
        <v>135</v>
      </c>
      <c r="BX39" t="s">
        <v>136</v>
      </c>
      <c r="CG39" t="s">
        <v>137</v>
      </c>
    </row>
    <row r="40" spans="1:90">
      <c r="A40" t="s">
        <v>625</v>
      </c>
      <c r="B40" t="str">
        <f t="shared" si="1"/>
        <v>Pablo César Castañeda Fuentes</v>
      </c>
      <c r="C40" s="7" t="s">
        <v>626</v>
      </c>
      <c r="D40" s="7" t="s">
        <v>627</v>
      </c>
      <c r="E40" s="7" t="s">
        <v>628</v>
      </c>
      <c r="F40" s="7" t="s">
        <v>94</v>
      </c>
      <c r="G40" s="8">
        <v>27535</v>
      </c>
      <c r="H40" t="s">
        <v>95</v>
      </c>
      <c r="I40" t="s">
        <v>96</v>
      </c>
      <c r="J40" t="s">
        <v>266</v>
      </c>
      <c r="L40" s="7" t="s">
        <v>281</v>
      </c>
      <c r="M40" t="s">
        <v>99</v>
      </c>
      <c r="N40" t="s">
        <v>100</v>
      </c>
      <c r="O40" t="s">
        <v>144</v>
      </c>
      <c r="P40" t="s">
        <v>145</v>
      </c>
      <c r="Q40" s="8">
        <v>45638</v>
      </c>
      <c r="S40" t="s">
        <v>629</v>
      </c>
      <c r="T40" t="s">
        <v>105</v>
      </c>
      <c r="U40" s="9" t="s">
        <v>283</v>
      </c>
      <c r="V40" s="9" t="s">
        <v>107</v>
      </c>
      <c r="W40" s="9" t="s">
        <v>107</v>
      </c>
      <c r="X40" t="s">
        <v>409</v>
      </c>
      <c r="Z40" t="s">
        <v>110</v>
      </c>
      <c r="AA40" t="s">
        <v>111</v>
      </c>
      <c r="AD40" t="s">
        <v>112</v>
      </c>
      <c r="AE40" t="s">
        <v>113</v>
      </c>
      <c r="AF40" t="s">
        <v>114</v>
      </c>
      <c r="AG40" t="s">
        <v>630</v>
      </c>
      <c r="AH40" t="s">
        <v>631</v>
      </c>
      <c r="AJ40" t="s">
        <v>632</v>
      </c>
      <c r="AK40" t="s">
        <v>633</v>
      </c>
      <c r="AM40" t="s">
        <v>634</v>
      </c>
      <c r="AN40" t="s">
        <v>625</v>
      </c>
      <c r="AO40" t="s">
        <v>119</v>
      </c>
      <c r="AP40">
        <v>7.0000000000000007E-2</v>
      </c>
      <c r="AQ40" t="s">
        <v>120</v>
      </c>
      <c r="AR40" t="s">
        <v>194</v>
      </c>
      <c r="AS40" t="s">
        <v>122</v>
      </c>
      <c r="AT40" t="s">
        <v>234</v>
      </c>
      <c r="AU40" t="s">
        <v>635</v>
      </c>
      <c r="AV40" t="s">
        <v>125</v>
      </c>
      <c r="AW40" t="s">
        <v>126</v>
      </c>
      <c r="AZ40" s="8"/>
      <c r="BA40" t="s">
        <v>127</v>
      </c>
      <c r="BF40" t="s">
        <v>100</v>
      </c>
      <c r="BG40" t="s">
        <v>145</v>
      </c>
      <c r="BH40" s="9" t="s">
        <v>128</v>
      </c>
      <c r="BJ40" t="s">
        <v>129</v>
      </c>
      <c r="BL40">
        <v>5</v>
      </c>
      <c r="BM40">
        <v>44</v>
      </c>
      <c r="BN40" t="s">
        <v>131</v>
      </c>
      <c r="BP40" t="s">
        <v>156</v>
      </c>
      <c r="BQ40" s="7" t="s">
        <v>157</v>
      </c>
      <c r="BR40" t="s">
        <v>134</v>
      </c>
      <c r="BS40" t="s">
        <v>135</v>
      </c>
      <c r="BT40" t="s">
        <v>135</v>
      </c>
      <c r="CL40" t="s">
        <v>138</v>
      </c>
    </row>
    <row r="41" spans="1:90">
      <c r="A41" t="s">
        <v>636</v>
      </c>
      <c r="B41" t="str">
        <f t="shared" si="1"/>
        <v>Patricio Antonio Uribe Valdes</v>
      </c>
      <c r="C41" s="7" t="s">
        <v>637</v>
      </c>
      <c r="D41" s="7" t="s">
        <v>638</v>
      </c>
      <c r="E41" s="7" t="s">
        <v>352</v>
      </c>
      <c r="F41" s="7" t="s">
        <v>94</v>
      </c>
      <c r="G41" s="8">
        <v>28299</v>
      </c>
      <c r="H41" t="s">
        <v>95</v>
      </c>
      <c r="I41" t="s">
        <v>96</v>
      </c>
      <c r="J41" t="s">
        <v>266</v>
      </c>
      <c r="L41" s="7" t="s">
        <v>296</v>
      </c>
      <c r="M41" t="s">
        <v>99</v>
      </c>
      <c r="N41" t="s">
        <v>100</v>
      </c>
      <c r="O41" t="s">
        <v>144</v>
      </c>
      <c r="P41" t="s">
        <v>145</v>
      </c>
      <c r="Q41" s="8">
        <v>45505</v>
      </c>
      <c r="S41" t="s">
        <v>639</v>
      </c>
      <c r="T41" t="s">
        <v>135</v>
      </c>
      <c r="U41" s="9" t="s">
        <v>298</v>
      </c>
      <c r="V41" s="9" t="s">
        <v>107</v>
      </c>
      <c r="W41" s="9" t="s">
        <v>107</v>
      </c>
      <c r="X41" t="s">
        <v>169</v>
      </c>
      <c r="Z41" t="s">
        <v>110</v>
      </c>
      <c r="AA41" t="s">
        <v>111</v>
      </c>
      <c r="AD41" t="s">
        <v>112</v>
      </c>
      <c r="AE41" t="s">
        <v>113</v>
      </c>
      <c r="AF41" t="s">
        <v>640</v>
      </c>
      <c r="AG41" t="s">
        <v>641</v>
      </c>
      <c r="AH41" t="s">
        <v>642</v>
      </c>
      <c r="AJ41" t="s">
        <v>643</v>
      </c>
      <c r="AK41" t="s">
        <v>644</v>
      </c>
      <c r="AL41" t="s">
        <v>645</v>
      </c>
      <c r="AM41" t="s">
        <v>646</v>
      </c>
      <c r="AN41" t="s">
        <v>636</v>
      </c>
      <c r="AO41" t="s">
        <v>119</v>
      </c>
      <c r="AP41">
        <v>7.0000000000000007E-2</v>
      </c>
      <c r="AQ41" t="s">
        <v>120</v>
      </c>
      <c r="AR41" t="s">
        <v>194</v>
      </c>
      <c r="AS41" t="s">
        <v>122</v>
      </c>
      <c r="AT41" t="s">
        <v>123</v>
      </c>
      <c r="AU41" t="s">
        <v>647</v>
      </c>
      <c r="AV41" t="s">
        <v>125</v>
      </c>
      <c r="AW41" t="s">
        <v>126</v>
      </c>
      <c r="AZ41" s="8"/>
      <c r="BA41" t="s">
        <v>127</v>
      </c>
      <c r="BF41" t="s">
        <v>100</v>
      </c>
      <c r="BG41" t="s">
        <v>145</v>
      </c>
      <c r="BH41" s="9" t="s">
        <v>128</v>
      </c>
      <c r="BJ41" t="s">
        <v>129</v>
      </c>
      <c r="BL41">
        <v>5</v>
      </c>
      <c r="BM41">
        <v>44</v>
      </c>
      <c r="BN41" t="s">
        <v>131</v>
      </c>
      <c r="BP41" t="s">
        <v>156</v>
      </c>
      <c r="BQ41" s="7" t="s">
        <v>157</v>
      </c>
      <c r="BR41" t="s">
        <v>134</v>
      </c>
      <c r="BS41" t="s">
        <v>135</v>
      </c>
      <c r="BT41" t="s">
        <v>135</v>
      </c>
    </row>
    <row r="42" spans="1:90">
      <c r="A42" t="s">
        <v>648</v>
      </c>
      <c r="B42" t="str">
        <f t="shared" si="1"/>
        <v>Patricio Lenin Gonzalez Araya</v>
      </c>
      <c r="C42" s="7" t="s">
        <v>649</v>
      </c>
      <c r="D42" s="7" t="s">
        <v>650</v>
      </c>
      <c r="E42" s="7" t="s">
        <v>651</v>
      </c>
      <c r="F42" s="7" t="s">
        <v>94</v>
      </c>
      <c r="G42" s="8">
        <v>24920</v>
      </c>
      <c r="H42" t="s">
        <v>95</v>
      </c>
      <c r="I42" t="s">
        <v>96</v>
      </c>
      <c r="L42" s="7" t="s">
        <v>296</v>
      </c>
      <c r="M42" t="s">
        <v>99</v>
      </c>
      <c r="N42" t="s">
        <v>100</v>
      </c>
      <c r="O42" t="s">
        <v>144</v>
      </c>
      <c r="P42" t="s">
        <v>145</v>
      </c>
      <c r="Q42" s="8">
        <v>45719</v>
      </c>
      <c r="S42" t="s">
        <v>282</v>
      </c>
      <c r="T42" t="s">
        <v>105</v>
      </c>
      <c r="U42" s="9" t="s">
        <v>298</v>
      </c>
      <c r="V42" s="9" t="s">
        <v>107</v>
      </c>
      <c r="W42" s="9" t="s">
        <v>107</v>
      </c>
      <c r="X42" t="s">
        <v>148</v>
      </c>
      <c r="Z42" t="s">
        <v>110</v>
      </c>
      <c r="AA42" t="s">
        <v>111</v>
      </c>
      <c r="AD42" t="s">
        <v>112</v>
      </c>
      <c r="AE42" t="s">
        <v>113</v>
      </c>
      <c r="AF42" t="s">
        <v>652</v>
      </c>
      <c r="AG42" t="s">
        <v>653</v>
      </c>
      <c r="AJ42" t="s">
        <v>654</v>
      </c>
      <c r="AK42" t="s">
        <v>655</v>
      </c>
      <c r="AL42" t="s">
        <v>656</v>
      </c>
      <c r="AM42" t="s">
        <v>657</v>
      </c>
      <c r="AN42" t="s">
        <v>658</v>
      </c>
      <c r="AO42" t="s">
        <v>119</v>
      </c>
      <c r="AP42">
        <v>7.0000000000000007E-2</v>
      </c>
      <c r="AQ42" t="s">
        <v>120</v>
      </c>
      <c r="AR42" t="s">
        <v>194</v>
      </c>
      <c r="AS42" t="s">
        <v>122</v>
      </c>
      <c r="AT42" t="s">
        <v>401</v>
      </c>
      <c r="AU42" t="s">
        <v>659</v>
      </c>
      <c r="AV42" t="s">
        <v>125</v>
      </c>
      <c r="AW42" t="s">
        <v>126</v>
      </c>
      <c r="AZ42" s="8"/>
      <c r="BA42" t="s">
        <v>127</v>
      </c>
      <c r="BF42" t="s">
        <v>100</v>
      </c>
      <c r="BG42" t="s">
        <v>145</v>
      </c>
      <c r="BH42" s="9" t="s">
        <v>128</v>
      </c>
      <c r="BJ42" t="s">
        <v>291</v>
      </c>
      <c r="BL42">
        <v>5</v>
      </c>
      <c r="BM42">
        <v>44</v>
      </c>
      <c r="BN42" t="s">
        <v>131</v>
      </c>
      <c r="BP42" t="s">
        <v>156</v>
      </c>
      <c r="BQ42" s="7" t="s">
        <v>157</v>
      </c>
      <c r="BR42" t="s">
        <v>134</v>
      </c>
      <c r="BS42" t="s">
        <v>135</v>
      </c>
      <c r="BT42" t="s">
        <v>135</v>
      </c>
    </row>
    <row r="43" spans="1:90">
      <c r="A43" t="s">
        <v>660</v>
      </c>
      <c r="B43" t="str">
        <f t="shared" si="1"/>
        <v>Ricardo Ignacio Bravo Tapia</v>
      </c>
      <c r="C43" s="7" t="s">
        <v>661</v>
      </c>
      <c r="D43" s="7" t="s">
        <v>662</v>
      </c>
      <c r="E43" s="7" t="s">
        <v>663</v>
      </c>
      <c r="F43" s="7" t="s">
        <v>94</v>
      </c>
      <c r="G43" s="8">
        <v>32448</v>
      </c>
      <c r="H43" t="s">
        <v>95</v>
      </c>
      <c r="I43" t="s">
        <v>96</v>
      </c>
      <c r="J43" t="s">
        <v>97</v>
      </c>
      <c r="L43" s="7" t="s">
        <v>296</v>
      </c>
      <c r="M43" t="s">
        <v>99</v>
      </c>
      <c r="N43" t="s">
        <v>100</v>
      </c>
      <c r="O43" t="s">
        <v>144</v>
      </c>
      <c r="P43" t="s">
        <v>145</v>
      </c>
      <c r="Q43" s="8">
        <v>45964</v>
      </c>
      <c r="R43" t="s">
        <v>664</v>
      </c>
      <c r="S43" t="s">
        <v>382</v>
      </c>
      <c r="T43" t="s">
        <v>105</v>
      </c>
      <c r="U43" s="9" t="s">
        <v>298</v>
      </c>
      <c r="V43" s="9" t="s">
        <v>107</v>
      </c>
      <c r="W43" s="9" t="s">
        <v>107</v>
      </c>
      <c r="X43" t="s">
        <v>409</v>
      </c>
      <c r="Z43" t="s">
        <v>110</v>
      </c>
      <c r="AA43" t="s">
        <v>111</v>
      </c>
      <c r="AD43" t="s">
        <v>665</v>
      </c>
      <c r="AE43" t="s">
        <v>666</v>
      </c>
      <c r="AF43" t="s">
        <v>667</v>
      </c>
      <c r="AG43" t="s">
        <v>668</v>
      </c>
      <c r="AJ43" t="s">
        <v>669</v>
      </c>
      <c r="AM43" t="s">
        <v>670</v>
      </c>
      <c r="AN43" t="s">
        <v>660</v>
      </c>
      <c r="AO43" t="s">
        <v>119</v>
      </c>
      <c r="AP43">
        <v>7.0000000000000007E-2</v>
      </c>
      <c r="AQ43" t="s">
        <v>120</v>
      </c>
      <c r="AR43" t="s">
        <v>194</v>
      </c>
      <c r="AS43" t="s">
        <v>122</v>
      </c>
      <c r="AT43" t="s">
        <v>208</v>
      </c>
      <c r="AU43" t="s">
        <v>671</v>
      </c>
      <c r="AV43" t="s">
        <v>125</v>
      </c>
      <c r="AW43" t="s">
        <v>126</v>
      </c>
      <c r="AZ43" s="8">
        <v>46142</v>
      </c>
      <c r="BA43" t="s">
        <v>222</v>
      </c>
      <c r="BF43" t="s">
        <v>100</v>
      </c>
      <c r="BG43" t="s">
        <v>145</v>
      </c>
      <c r="BH43" s="9" t="s">
        <v>128</v>
      </c>
      <c r="BJ43" t="s">
        <v>129</v>
      </c>
      <c r="BK43" t="s">
        <v>130</v>
      </c>
      <c r="BL43">
        <v>5</v>
      </c>
      <c r="BM43">
        <v>44</v>
      </c>
      <c r="BN43" t="s">
        <v>131</v>
      </c>
      <c r="BP43" t="s">
        <v>156</v>
      </c>
      <c r="BQ43" s="7" t="s">
        <v>157</v>
      </c>
      <c r="BR43" t="s">
        <v>134</v>
      </c>
      <c r="BS43" t="s">
        <v>135</v>
      </c>
      <c r="BT43" t="s">
        <v>135</v>
      </c>
      <c r="CG43" t="s">
        <v>137</v>
      </c>
    </row>
    <row r="44" spans="1:90">
      <c r="A44" t="s">
        <v>672</v>
      </c>
      <c r="B44" t="str">
        <f t="shared" si="1"/>
        <v>Ricardo Jose Navarro Almarza</v>
      </c>
      <c r="C44" s="7" t="s">
        <v>673</v>
      </c>
      <c r="D44" s="7" t="s">
        <v>674</v>
      </c>
      <c r="E44" s="7" t="s">
        <v>675</v>
      </c>
      <c r="F44" s="7" t="s">
        <v>94</v>
      </c>
      <c r="G44" s="8">
        <v>30981</v>
      </c>
      <c r="H44" t="s">
        <v>367</v>
      </c>
      <c r="I44" t="s">
        <v>96</v>
      </c>
      <c r="J44" t="s">
        <v>182</v>
      </c>
      <c r="L44" s="7" t="s">
        <v>296</v>
      </c>
      <c r="M44" t="s">
        <v>99</v>
      </c>
      <c r="N44" t="s">
        <v>100</v>
      </c>
      <c r="O44" t="s">
        <v>144</v>
      </c>
      <c r="P44" t="s">
        <v>145</v>
      </c>
      <c r="Q44" s="8">
        <v>45222</v>
      </c>
      <c r="S44" t="s">
        <v>530</v>
      </c>
      <c r="T44" t="s">
        <v>135</v>
      </c>
      <c r="U44" s="9" t="s">
        <v>298</v>
      </c>
      <c r="V44" s="9" t="s">
        <v>107</v>
      </c>
      <c r="W44" s="9" t="s">
        <v>107</v>
      </c>
      <c r="X44" t="s">
        <v>299</v>
      </c>
      <c r="Z44" t="s">
        <v>242</v>
      </c>
      <c r="AA44" t="s">
        <v>111</v>
      </c>
      <c r="AD44" t="s">
        <v>676</v>
      </c>
      <c r="AE44" t="s">
        <v>676</v>
      </c>
      <c r="AF44" t="s">
        <v>677</v>
      </c>
      <c r="AG44" t="s">
        <v>678</v>
      </c>
      <c r="AH44" t="s">
        <v>679</v>
      </c>
      <c r="AI44" t="s">
        <v>680</v>
      </c>
      <c r="AJ44" t="s">
        <v>681</v>
      </c>
      <c r="AK44" t="s">
        <v>682</v>
      </c>
      <c r="AL44" t="s">
        <v>683</v>
      </c>
      <c r="AM44" t="s">
        <v>684</v>
      </c>
      <c r="AN44" t="s">
        <v>672</v>
      </c>
      <c r="AO44" t="s">
        <v>193</v>
      </c>
      <c r="AP44">
        <v>4.7779999999999996</v>
      </c>
      <c r="AQ44" t="s">
        <v>120</v>
      </c>
      <c r="AR44" t="s">
        <v>194</v>
      </c>
      <c r="AS44" t="s">
        <v>122</v>
      </c>
      <c r="AT44" t="s">
        <v>208</v>
      </c>
      <c r="AU44" t="s">
        <v>685</v>
      </c>
      <c r="AV44" t="s">
        <v>125</v>
      </c>
      <c r="AW44" t="s">
        <v>126</v>
      </c>
      <c r="AZ44" s="8"/>
      <c r="BA44" t="s">
        <v>127</v>
      </c>
      <c r="BF44" t="s">
        <v>100</v>
      </c>
      <c r="BG44" t="s">
        <v>145</v>
      </c>
      <c r="BH44" s="9" t="s">
        <v>128</v>
      </c>
      <c r="BJ44" t="s">
        <v>129</v>
      </c>
      <c r="BL44">
        <v>5</v>
      </c>
      <c r="BM44">
        <v>44</v>
      </c>
      <c r="BN44" t="s">
        <v>131</v>
      </c>
      <c r="BP44" t="s">
        <v>156</v>
      </c>
      <c r="BQ44" s="7" t="s">
        <v>157</v>
      </c>
      <c r="BR44" t="s">
        <v>134</v>
      </c>
      <c r="BS44" t="s">
        <v>135</v>
      </c>
      <c r="BT44" t="s">
        <v>135</v>
      </c>
    </row>
    <row r="45" spans="1:90">
      <c r="A45" t="s">
        <v>686</v>
      </c>
      <c r="B45" t="str">
        <f t="shared" si="1"/>
        <v>Ricardo Juan Thompson Ferrada</v>
      </c>
      <c r="C45" s="7" t="s">
        <v>687</v>
      </c>
      <c r="D45" s="7" t="s">
        <v>688</v>
      </c>
      <c r="E45" s="7" t="s">
        <v>689</v>
      </c>
      <c r="F45" s="7" t="s">
        <v>94</v>
      </c>
      <c r="G45" s="8">
        <v>24598</v>
      </c>
      <c r="H45" t="s">
        <v>95</v>
      </c>
      <c r="I45" t="s">
        <v>96</v>
      </c>
      <c r="J45" t="s">
        <v>182</v>
      </c>
      <c r="L45" s="7" t="s">
        <v>296</v>
      </c>
      <c r="M45" t="s">
        <v>99</v>
      </c>
      <c r="N45" t="s">
        <v>100</v>
      </c>
      <c r="O45" t="s">
        <v>144</v>
      </c>
      <c r="P45" t="s">
        <v>145</v>
      </c>
      <c r="Q45" s="8">
        <v>45931</v>
      </c>
      <c r="R45" t="s">
        <v>368</v>
      </c>
      <c r="S45" t="s">
        <v>369</v>
      </c>
      <c r="T45" t="s">
        <v>135</v>
      </c>
      <c r="U45" s="9" t="s">
        <v>298</v>
      </c>
      <c r="V45" s="9" t="s">
        <v>107</v>
      </c>
      <c r="W45" s="9" t="s">
        <v>107</v>
      </c>
      <c r="X45" t="s">
        <v>109</v>
      </c>
      <c r="Z45" t="s">
        <v>110</v>
      </c>
      <c r="AA45" t="s">
        <v>111</v>
      </c>
      <c r="AD45" t="s">
        <v>690</v>
      </c>
      <c r="AE45" t="s">
        <v>690</v>
      </c>
      <c r="AF45" t="s">
        <v>691</v>
      </c>
      <c r="AG45" t="s">
        <v>692</v>
      </c>
      <c r="AJ45" t="s">
        <v>693</v>
      </c>
      <c r="AM45" t="s">
        <v>694</v>
      </c>
      <c r="AN45" t="s">
        <v>686</v>
      </c>
      <c r="AO45" t="s">
        <v>119</v>
      </c>
      <c r="AP45">
        <v>7.0000000000000007E-2</v>
      </c>
      <c r="AQ45" t="s">
        <v>120</v>
      </c>
      <c r="AR45" t="s">
        <v>121</v>
      </c>
      <c r="AS45" t="s">
        <v>122</v>
      </c>
      <c r="AT45" t="s">
        <v>234</v>
      </c>
      <c r="AU45" t="s">
        <v>695</v>
      </c>
      <c r="AV45" t="s">
        <v>125</v>
      </c>
      <c r="AW45" t="s">
        <v>126</v>
      </c>
      <c r="AZ45" s="8"/>
      <c r="BA45" t="s">
        <v>127</v>
      </c>
      <c r="BF45" t="s">
        <v>100</v>
      </c>
      <c r="BG45" t="s">
        <v>145</v>
      </c>
      <c r="BH45" s="9" t="s">
        <v>128</v>
      </c>
      <c r="BJ45" t="s">
        <v>129</v>
      </c>
      <c r="BK45" t="s">
        <v>130</v>
      </c>
      <c r="BL45">
        <v>5</v>
      </c>
      <c r="BM45">
        <v>42</v>
      </c>
      <c r="BN45" t="s">
        <v>131</v>
      </c>
      <c r="BP45" t="s">
        <v>156</v>
      </c>
      <c r="BQ45" s="7" t="s">
        <v>157</v>
      </c>
      <c r="BR45" t="s">
        <v>134</v>
      </c>
      <c r="BS45" t="s">
        <v>135</v>
      </c>
      <c r="BT45" t="s">
        <v>135</v>
      </c>
      <c r="CG45" t="s">
        <v>137</v>
      </c>
    </row>
    <row r="46" spans="1:90">
      <c r="A46" t="s">
        <v>696</v>
      </c>
      <c r="B46" t="str">
        <f t="shared" si="1"/>
        <v>Roberto Antonio Riquelme Arce</v>
      </c>
      <c r="C46" s="7" t="s">
        <v>697</v>
      </c>
      <c r="D46" s="7" t="s">
        <v>698</v>
      </c>
      <c r="E46" s="7" t="s">
        <v>699</v>
      </c>
      <c r="F46" s="7" t="s">
        <v>94</v>
      </c>
      <c r="G46" s="8">
        <v>24425</v>
      </c>
      <c r="H46" t="s">
        <v>95</v>
      </c>
      <c r="I46" t="s">
        <v>96</v>
      </c>
      <c r="L46" s="7" t="s">
        <v>98</v>
      </c>
      <c r="M46" t="s">
        <v>99</v>
      </c>
      <c r="N46" t="s">
        <v>100</v>
      </c>
      <c r="O46" t="s">
        <v>101</v>
      </c>
      <c r="P46" t="s">
        <v>102</v>
      </c>
      <c r="Q46" s="8">
        <v>44431</v>
      </c>
      <c r="S46" t="s">
        <v>700</v>
      </c>
      <c r="T46" t="s">
        <v>105</v>
      </c>
      <c r="U46" s="9" t="s">
        <v>106</v>
      </c>
      <c r="V46" s="9" t="s">
        <v>107</v>
      </c>
      <c r="W46" s="9" t="s">
        <v>108</v>
      </c>
      <c r="X46" t="s">
        <v>148</v>
      </c>
      <c r="Z46" t="s">
        <v>110</v>
      </c>
      <c r="AA46" t="s">
        <v>111</v>
      </c>
      <c r="AD46" t="s">
        <v>112</v>
      </c>
      <c r="AF46" t="s">
        <v>202</v>
      </c>
      <c r="AG46" t="s">
        <v>423</v>
      </c>
      <c r="AH46" t="s">
        <v>424</v>
      </c>
      <c r="AJ46" t="s">
        <v>701</v>
      </c>
      <c r="AL46" t="s">
        <v>702</v>
      </c>
      <c r="AM46" t="s">
        <v>703</v>
      </c>
      <c r="AN46" t="s">
        <v>696</v>
      </c>
      <c r="AO46" t="s">
        <v>119</v>
      </c>
      <c r="AP46">
        <v>7.0000000000000007E-2</v>
      </c>
      <c r="AQ46" t="s">
        <v>120</v>
      </c>
      <c r="AR46" t="s">
        <v>194</v>
      </c>
      <c r="AS46" t="s">
        <v>122</v>
      </c>
      <c r="AT46" t="s">
        <v>208</v>
      </c>
      <c r="AU46" t="s">
        <v>704</v>
      </c>
      <c r="AV46" t="s">
        <v>125</v>
      </c>
      <c r="AW46" t="s">
        <v>126</v>
      </c>
      <c r="AZ46" s="8"/>
      <c r="BA46" t="s">
        <v>127</v>
      </c>
      <c r="BE46" t="s">
        <v>705</v>
      </c>
      <c r="BF46" t="s">
        <v>100</v>
      </c>
      <c r="BG46" t="s">
        <v>102</v>
      </c>
      <c r="BH46" s="9" t="s">
        <v>128</v>
      </c>
      <c r="BJ46" t="s">
        <v>129</v>
      </c>
      <c r="BL46">
        <v>5</v>
      </c>
      <c r="BM46">
        <v>44</v>
      </c>
      <c r="BN46" t="s">
        <v>131</v>
      </c>
      <c r="BP46" t="s">
        <v>132</v>
      </c>
      <c r="BQ46" s="7" t="s">
        <v>133</v>
      </c>
      <c r="BR46" t="s">
        <v>134</v>
      </c>
      <c r="BS46" t="s">
        <v>135</v>
      </c>
      <c r="BT46" t="s">
        <v>135</v>
      </c>
    </row>
    <row r="47" spans="1:90">
      <c r="A47" t="s">
        <v>133</v>
      </c>
      <c r="B47" t="str">
        <f t="shared" si="1"/>
        <v>Roberto Felipe Nicolas Riquelme Reyes</v>
      </c>
      <c r="C47" s="7" t="s">
        <v>706</v>
      </c>
      <c r="D47" s="7" t="s">
        <v>698</v>
      </c>
      <c r="E47" s="7" t="s">
        <v>160</v>
      </c>
      <c r="F47" s="7" t="s">
        <v>94</v>
      </c>
      <c r="G47" s="8">
        <v>35206</v>
      </c>
      <c r="H47" t="s">
        <v>95</v>
      </c>
      <c r="I47" t="s">
        <v>96</v>
      </c>
      <c r="L47" s="7" t="s">
        <v>707</v>
      </c>
      <c r="M47" t="s">
        <v>99</v>
      </c>
      <c r="N47" t="s">
        <v>100</v>
      </c>
      <c r="O47" t="s">
        <v>101</v>
      </c>
      <c r="P47" t="s">
        <v>102</v>
      </c>
      <c r="Q47" s="8">
        <v>44153</v>
      </c>
      <c r="S47" t="s">
        <v>708</v>
      </c>
      <c r="T47" t="s">
        <v>105</v>
      </c>
      <c r="U47" s="9" t="s">
        <v>709</v>
      </c>
      <c r="V47" s="9" t="s">
        <v>107</v>
      </c>
      <c r="W47" s="9" t="s">
        <v>108</v>
      </c>
      <c r="X47" t="s">
        <v>109</v>
      </c>
      <c r="Z47" t="s">
        <v>110</v>
      </c>
      <c r="AA47" t="s">
        <v>111</v>
      </c>
      <c r="AD47" t="s">
        <v>112</v>
      </c>
      <c r="AE47" t="s">
        <v>113</v>
      </c>
      <c r="AF47" t="s">
        <v>202</v>
      </c>
      <c r="AG47" t="s">
        <v>423</v>
      </c>
      <c r="AH47" t="s">
        <v>424</v>
      </c>
      <c r="AJ47" t="s">
        <v>710</v>
      </c>
      <c r="AL47" t="s">
        <v>711</v>
      </c>
      <c r="AM47" t="s">
        <v>712</v>
      </c>
      <c r="AN47" t="s">
        <v>133</v>
      </c>
      <c r="AO47" t="s">
        <v>119</v>
      </c>
      <c r="AP47">
        <v>7.0000000000000007E-2</v>
      </c>
      <c r="AQ47" t="s">
        <v>120</v>
      </c>
      <c r="AR47" t="s">
        <v>194</v>
      </c>
      <c r="AS47" t="s">
        <v>122</v>
      </c>
      <c r="AT47" t="s">
        <v>208</v>
      </c>
      <c r="AU47" t="s">
        <v>713</v>
      </c>
      <c r="AV47" t="s">
        <v>125</v>
      </c>
      <c r="AW47" t="s">
        <v>126</v>
      </c>
      <c r="AZ47" s="8"/>
      <c r="BA47" t="s">
        <v>127</v>
      </c>
      <c r="BF47" t="s">
        <v>100</v>
      </c>
      <c r="BG47" t="s">
        <v>102</v>
      </c>
      <c r="BH47" s="9" t="s">
        <v>128</v>
      </c>
      <c r="BJ47" t="s">
        <v>129</v>
      </c>
      <c r="BL47">
        <v>5</v>
      </c>
      <c r="BM47">
        <v>44</v>
      </c>
      <c r="BN47" t="s">
        <v>131</v>
      </c>
      <c r="BP47" t="s">
        <v>429</v>
      </c>
      <c r="BQ47" s="7" t="s">
        <v>335</v>
      </c>
      <c r="BR47" t="s">
        <v>134</v>
      </c>
      <c r="BS47" t="s">
        <v>135</v>
      </c>
      <c r="BT47" t="s">
        <v>135</v>
      </c>
    </row>
    <row r="48" spans="1:90">
      <c r="A48" t="s">
        <v>714</v>
      </c>
      <c r="B48" t="str">
        <f t="shared" si="1"/>
        <v>Rodrigo Adrián Munita Fuentes</v>
      </c>
      <c r="C48" s="7" t="s">
        <v>715</v>
      </c>
      <c r="D48" s="7" t="s">
        <v>716</v>
      </c>
      <c r="E48" s="7" t="s">
        <v>628</v>
      </c>
      <c r="F48" s="7" t="s">
        <v>94</v>
      </c>
      <c r="G48" s="8">
        <v>33702</v>
      </c>
      <c r="H48" t="s">
        <v>95</v>
      </c>
      <c r="I48" t="s">
        <v>96</v>
      </c>
      <c r="J48" t="s">
        <v>97</v>
      </c>
      <c r="L48" s="7" t="s">
        <v>98</v>
      </c>
      <c r="M48" t="s">
        <v>99</v>
      </c>
      <c r="N48" t="s">
        <v>100</v>
      </c>
      <c r="O48" t="s">
        <v>101</v>
      </c>
      <c r="P48" t="s">
        <v>102</v>
      </c>
      <c r="Q48" s="8">
        <v>45816</v>
      </c>
      <c r="S48" t="s">
        <v>717</v>
      </c>
      <c r="T48" t="s">
        <v>105</v>
      </c>
      <c r="U48" s="9" t="s">
        <v>106</v>
      </c>
      <c r="V48" s="9" t="s">
        <v>107</v>
      </c>
      <c r="W48" s="9" t="s">
        <v>108</v>
      </c>
      <c r="X48" t="s">
        <v>169</v>
      </c>
      <c r="Z48" t="s">
        <v>110</v>
      </c>
      <c r="AA48" t="s">
        <v>111</v>
      </c>
      <c r="AD48" t="s">
        <v>112</v>
      </c>
      <c r="AE48" t="s">
        <v>113</v>
      </c>
      <c r="AF48" t="s">
        <v>114</v>
      </c>
      <c r="AG48" t="s">
        <v>718</v>
      </c>
      <c r="AJ48" t="s">
        <v>719</v>
      </c>
      <c r="AM48" t="s">
        <v>720</v>
      </c>
      <c r="AN48" t="s">
        <v>714</v>
      </c>
      <c r="AO48" t="s">
        <v>119</v>
      </c>
      <c r="AP48">
        <v>7.0000000000000007E-2</v>
      </c>
      <c r="AQ48" t="s">
        <v>120</v>
      </c>
      <c r="AR48" t="s">
        <v>121</v>
      </c>
      <c r="AS48" t="s">
        <v>122</v>
      </c>
      <c r="AT48" t="s">
        <v>123</v>
      </c>
      <c r="AU48" t="s">
        <v>721</v>
      </c>
      <c r="AV48" t="s">
        <v>125</v>
      </c>
      <c r="AW48" t="s">
        <v>126</v>
      </c>
      <c r="AZ48" s="8"/>
      <c r="BA48" t="s">
        <v>127</v>
      </c>
      <c r="BF48" t="s">
        <v>100</v>
      </c>
      <c r="BG48" t="s">
        <v>102</v>
      </c>
      <c r="BH48" s="9" t="s">
        <v>128</v>
      </c>
      <c r="BJ48" t="s">
        <v>129</v>
      </c>
      <c r="BK48" t="s">
        <v>130</v>
      </c>
      <c r="BL48">
        <v>5</v>
      </c>
      <c r="BM48">
        <v>44</v>
      </c>
      <c r="BN48" t="s">
        <v>131</v>
      </c>
      <c r="BP48" t="s">
        <v>132</v>
      </c>
      <c r="BQ48" s="7" t="s">
        <v>133</v>
      </c>
      <c r="BR48" t="s">
        <v>134</v>
      </c>
      <c r="BS48" t="s">
        <v>135</v>
      </c>
      <c r="BT48" t="s">
        <v>135</v>
      </c>
      <c r="CG48" t="s">
        <v>137</v>
      </c>
    </row>
    <row r="49" spans="1:85">
      <c r="A49" t="s">
        <v>722</v>
      </c>
      <c r="B49" t="str">
        <f t="shared" si="1"/>
        <v>Sandra Doris Viertel Peschka</v>
      </c>
      <c r="C49" s="7" t="s">
        <v>723</v>
      </c>
      <c r="D49" s="7" t="s">
        <v>438</v>
      </c>
      <c r="E49" s="7" t="s">
        <v>724</v>
      </c>
      <c r="F49" s="7" t="s">
        <v>94</v>
      </c>
      <c r="G49" s="8">
        <v>22956</v>
      </c>
      <c r="H49" t="s">
        <v>95</v>
      </c>
      <c r="I49" t="s">
        <v>162</v>
      </c>
      <c r="J49" t="s">
        <v>182</v>
      </c>
      <c r="L49" s="7" t="s">
        <v>296</v>
      </c>
      <c r="M49" t="s">
        <v>99</v>
      </c>
      <c r="N49" t="s">
        <v>100</v>
      </c>
      <c r="O49" t="s">
        <v>144</v>
      </c>
      <c r="P49" t="s">
        <v>145</v>
      </c>
      <c r="Q49" s="8">
        <v>42786</v>
      </c>
      <c r="S49" t="s">
        <v>725</v>
      </c>
      <c r="T49" t="s">
        <v>105</v>
      </c>
      <c r="U49" s="9" t="s">
        <v>298</v>
      </c>
      <c r="V49" s="9" t="s">
        <v>107</v>
      </c>
      <c r="W49" s="9" t="s">
        <v>107</v>
      </c>
      <c r="X49" t="s">
        <v>169</v>
      </c>
      <c r="Z49" t="s">
        <v>242</v>
      </c>
      <c r="AA49" t="s">
        <v>111</v>
      </c>
      <c r="AD49" t="s">
        <v>112</v>
      </c>
      <c r="AF49" t="s">
        <v>726</v>
      </c>
      <c r="AG49" t="s">
        <v>727</v>
      </c>
      <c r="AH49" t="s">
        <v>728</v>
      </c>
      <c r="AI49" t="s">
        <v>729</v>
      </c>
      <c r="AJ49" t="s">
        <v>730</v>
      </c>
      <c r="AK49" t="s">
        <v>731</v>
      </c>
      <c r="AL49" t="s">
        <v>732</v>
      </c>
      <c r="AM49" t="s">
        <v>733</v>
      </c>
      <c r="AN49" t="s">
        <v>722</v>
      </c>
      <c r="AO49" t="s">
        <v>193</v>
      </c>
      <c r="AP49">
        <v>4.5419999999999998</v>
      </c>
      <c r="AQ49" t="s">
        <v>120</v>
      </c>
      <c r="AR49" t="s">
        <v>194</v>
      </c>
      <c r="AS49" t="s">
        <v>122</v>
      </c>
      <c r="AT49" t="s">
        <v>387</v>
      </c>
      <c r="AU49" t="s">
        <v>734</v>
      </c>
      <c r="AV49" t="s">
        <v>705</v>
      </c>
      <c r="AW49" t="s">
        <v>126</v>
      </c>
      <c r="AZ49" s="8"/>
      <c r="BA49" t="s">
        <v>127</v>
      </c>
      <c r="BF49" t="s">
        <v>100</v>
      </c>
      <c r="BG49" t="s">
        <v>145</v>
      </c>
      <c r="BH49" s="9" t="s">
        <v>128</v>
      </c>
      <c r="BJ49" t="s">
        <v>129</v>
      </c>
      <c r="BL49">
        <v>5</v>
      </c>
      <c r="BM49">
        <v>44</v>
      </c>
      <c r="BN49" t="s">
        <v>131</v>
      </c>
      <c r="BP49" t="s">
        <v>156</v>
      </c>
      <c r="BQ49" s="7" t="s">
        <v>157</v>
      </c>
      <c r="BR49" t="s">
        <v>134</v>
      </c>
      <c r="BS49" t="s">
        <v>135</v>
      </c>
      <c r="BT49" t="s">
        <v>135</v>
      </c>
    </row>
    <row r="50" spans="1:85">
      <c r="A50" t="s">
        <v>735</v>
      </c>
      <c r="B50" t="str">
        <f t="shared" si="1"/>
        <v>Sebastián Alfonso Faure Solari</v>
      </c>
      <c r="C50" s="7" t="s">
        <v>736</v>
      </c>
      <c r="D50" s="7" t="s">
        <v>737</v>
      </c>
      <c r="E50" s="7" t="s">
        <v>738</v>
      </c>
      <c r="F50" s="7" t="s">
        <v>94</v>
      </c>
      <c r="G50" s="8">
        <v>34364</v>
      </c>
      <c r="H50" t="s">
        <v>95</v>
      </c>
      <c r="I50" t="s">
        <v>96</v>
      </c>
      <c r="J50" t="s">
        <v>97</v>
      </c>
      <c r="L50" s="7" t="s">
        <v>587</v>
      </c>
      <c r="M50" t="s">
        <v>99</v>
      </c>
      <c r="N50" t="s">
        <v>100</v>
      </c>
      <c r="O50" t="s">
        <v>144</v>
      </c>
      <c r="P50" t="s">
        <v>145</v>
      </c>
      <c r="Q50" s="8">
        <v>45369</v>
      </c>
      <c r="S50" t="s">
        <v>588</v>
      </c>
      <c r="T50" t="s">
        <v>105</v>
      </c>
      <c r="U50" s="9" t="s">
        <v>589</v>
      </c>
      <c r="V50" s="9" t="s">
        <v>107</v>
      </c>
      <c r="W50" s="9" t="s">
        <v>107</v>
      </c>
      <c r="X50" t="s">
        <v>109</v>
      </c>
      <c r="Z50" t="s">
        <v>110</v>
      </c>
      <c r="AA50" t="s">
        <v>111</v>
      </c>
      <c r="AD50" t="s">
        <v>112</v>
      </c>
      <c r="AE50" t="s">
        <v>113</v>
      </c>
      <c r="AF50" t="s">
        <v>114</v>
      </c>
      <c r="AG50" t="s">
        <v>739</v>
      </c>
      <c r="AH50" t="s">
        <v>740</v>
      </c>
      <c r="AJ50" t="s">
        <v>741</v>
      </c>
      <c r="AK50" t="s">
        <v>741</v>
      </c>
      <c r="AL50" t="s">
        <v>742</v>
      </c>
      <c r="AM50" t="s">
        <v>743</v>
      </c>
      <c r="AN50" t="s">
        <v>735</v>
      </c>
      <c r="AO50" t="s">
        <v>119</v>
      </c>
      <c r="AP50">
        <v>7.0000000000000007E-2</v>
      </c>
      <c r="AQ50" t="s">
        <v>120</v>
      </c>
      <c r="AR50" t="s">
        <v>194</v>
      </c>
      <c r="AS50" t="s">
        <v>122</v>
      </c>
      <c r="AT50" t="s">
        <v>208</v>
      </c>
      <c r="AU50" t="s">
        <v>744</v>
      </c>
      <c r="AV50" t="s">
        <v>125</v>
      </c>
      <c r="AW50" t="s">
        <v>126</v>
      </c>
      <c r="AZ50" s="8"/>
      <c r="BA50" t="s">
        <v>127</v>
      </c>
      <c r="BB50" t="s">
        <v>376</v>
      </c>
      <c r="BF50" t="s">
        <v>100</v>
      </c>
      <c r="BG50" t="s">
        <v>145</v>
      </c>
      <c r="BH50" s="9" t="s">
        <v>128</v>
      </c>
      <c r="BJ50" t="s">
        <v>129</v>
      </c>
      <c r="BL50">
        <v>5</v>
      </c>
      <c r="BM50">
        <v>44</v>
      </c>
      <c r="BN50" t="s">
        <v>131</v>
      </c>
      <c r="BP50" t="s">
        <v>156</v>
      </c>
      <c r="BQ50" s="7" t="s">
        <v>157</v>
      </c>
      <c r="BR50" t="s">
        <v>134</v>
      </c>
      <c r="BS50" t="s">
        <v>135</v>
      </c>
      <c r="BT50" t="s">
        <v>135</v>
      </c>
    </row>
    <row r="51" spans="1:85">
      <c r="A51" t="s">
        <v>745</v>
      </c>
      <c r="B51" t="str">
        <f t="shared" si="1"/>
        <v>Sebastian Ignacio Esteban Riquelme Reyes</v>
      </c>
      <c r="C51" s="7" t="s">
        <v>746</v>
      </c>
      <c r="D51" s="7" t="s">
        <v>698</v>
      </c>
      <c r="E51" s="7" t="s">
        <v>160</v>
      </c>
      <c r="F51" s="7" t="s">
        <v>94</v>
      </c>
      <c r="G51" s="8">
        <v>37151</v>
      </c>
      <c r="H51" t="s">
        <v>95</v>
      </c>
      <c r="I51" t="s">
        <v>96</v>
      </c>
      <c r="L51" s="7" t="s">
        <v>747</v>
      </c>
      <c r="M51" t="s">
        <v>99</v>
      </c>
      <c r="N51" t="s">
        <v>100</v>
      </c>
      <c r="O51" t="s">
        <v>101</v>
      </c>
      <c r="P51" t="s">
        <v>102</v>
      </c>
      <c r="Q51" s="8">
        <v>44242</v>
      </c>
      <c r="S51" t="s">
        <v>748</v>
      </c>
      <c r="T51" t="s">
        <v>105</v>
      </c>
      <c r="U51" s="9" t="s">
        <v>241</v>
      </c>
      <c r="V51" s="9" t="s">
        <v>107</v>
      </c>
      <c r="W51" s="9" t="s">
        <v>108</v>
      </c>
      <c r="X51" t="s">
        <v>201</v>
      </c>
      <c r="Z51" t="s">
        <v>110</v>
      </c>
      <c r="AA51" t="s">
        <v>111</v>
      </c>
      <c r="AD51" t="s">
        <v>112</v>
      </c>
      <c r="AE51" t="s">
        <v>113</v>
      </c>
      <c r="AF51" t="s">
        <v>202</v>
      </c>
      <c r="AG51" t="s">
        <v>423</v>
      </c>
      <c r="AH51" t="s">
        <v>424</v>
      </c>
      <c r="AJ51" t="s">
        <v>749</v>
      </c>
      <c r="AL51" t="s">
        <v>750</v>
      </c>
      <c r="AM51" t="s">
        <v>751</v>
      </c>
      <c r="AN51" t="s">
        <v>745</v>
      </c>
      <c r="AO51" t="s">
        <v>119</v>
      </c>
      <c r="AP51">
        <v>7.0000000000000007E-2</v>
      </c>
      <c r="AQ51" t="s">
        <v>120</v>
      </c>
      <c r="AR51" t="s">
        <v>194</v>
      </c>
      <c r="AS51" t="s">
        <v>122</v>
      </c>
      <c r="AT51" t="s">
        <v>234</v>
      </c>
      <c r="AU51" t="s">
        <v>752</v>
      </c>
      <c r="AV51" t="s">
        <v>125</v>
      </c>
      <c r="AW51" t="s">
        <v>126</v>
      </c>
      <c r="AZ51" s="8"/>
      <c r="BA51" t="s">
        <v>127</v>
      </c>
      <c r="BF51" t="s">
        <v>100</v>
      </c>
      <c r="BG51" t="s">
        <v>102</v>
      </c>
      <c r="BH51" s="9" t="s">
        <v>128</v>
      </c>
      <c r="BJ51" t="s">
        <v>129</v>
      </c>
      <c r="BL51">
        <v>5</v>
      </c>
      <c r="BM51">
        <v>44</v>
      </c>
      <c r="BN51" t="s">
        <v>131</v>
      </c>
      <c r="BP51" t="s">
        <v>132</v>
      </c>
      <c r="BQ51" s="7" t="s">
        <v>133</v>
      </c>
      <c r="BR51" t="s">
        <v>134</v>
      </c>
      <c r="BS51" t="s">
        <v>135</v>
      </c>
      <c r="BT51" t="s">
        <v>135</v>
      </c>
    </row>
    <row r="52" spans="1:85">
      <c r="A52" t="s">
        <v>753</v>
      </c>
      <c r="B52" t="str">
        <f t="shared" si="1"/>
        <v>Solange Del Carmen Lobos De la fuente</v>
      </c>
      <c r="C52" s="7" t="s">
        <v>754</v>
      </c>
      <c r="D52" s="7" t="s">
        <v>755</v>
      </c>
      <c r="E52" s="7" t="s">
        <v>756</v>
      </c>
      <c r="F52" s="7" t="s">
        <v>94</v>
      </c>
      <c r="G52" s="8">
        <v>29828</v>
      </c>
      <c r="H52" t="s">
        <v>95</v>
      </c>
      <c r="I52" t="s">
        <v>162</v>
      </c>
      <c r="J52" t="s">
        <v>266</v>
      </c>
      <c r="L52" s="7" t="s">
        <v>296</v>
      </c>
      <c r="M52" t="s">
        <v>99</v>
      </c>
      <c r="N52" t="s">
        <v>100</v>
      </c>
      <c r="O52" t="s">
        <v>144</v>
      </c>
      <c r="P52" t="s">
        <v>145</v>
      </c>
      <c r="Q52" s="8">
        <v>45119</v>
      </c>
      <c r="S52" t="s">
        <v>297</v>
      </c>
      <c r="T52" t="s">
        <v>105</v>
      </c>
      <c r="U52" s="9" t="s">
        <v>298</v>
      </c>
      <c r="V52" s="9" t="s">
        <v>107</v>
      </c>
      <c r="W52" s="9" t="s">
        <v>107</v>
      </c>
      <c r="X52" t="s">
        <v>509</v>
      </c>
      <c r="Z52" t="s">
        <v>110</v>
      </c>
      <c r="AA52" t="s">
        <v>111</v>
      </c>
      <c r="AD52" t="s">
        <v>112</v>
      </c>
      <c r="AE52" t="s">
        <v>113</v>
      </c>
      <c r="AF52" t="s">
        <v>114</v>
      </c>
      <c r="AG52" t="s">
        <v>757</v>
      </c>
      <c r="AH52" t="s">
        <v>758</v>
      </c>
      <c r="AJ52" t="s">
        <v>759</v>
      </c>
      <c r="AK52" t="s">
        <v>760</v>
      </c>
      <c r="AL52" t="s">
        <v>761</v>
      </c>
      <c r="AM52" t="s">
        <v>762</v>
      </c>
      <c r="AN52" t="s">
        <v>753</v>
      </c>
      <c r="AO52" t="s">
        <v>119</v>
      </c>
      <c r="AP52">
        <v>7.0000000000000007E-2</v>
      </c>
      <c r="AQ52" t="s">
        <v>120</v>
      </c>
      <c r="AR52" t="s">
        <v>194</v>
      </c>
      <c r="AS52" t="s">
        <v>122</v>
      </c>
      <c r="AT52" t="s">
        <v>234</v>
      </c>
      <c r="AU52" t="s">
        <v>763</v>
      </c>
      <c r="AV52" t="s">
        <v>125</v>
      </c>
      <c r="AW52" t="s">
        <v>126</v>
      </c>
      <c r="AZ52" s="8"/>
      <c r="BA52" t="s">
        <v>127</v>
      </c>
      <c r="BF52" t="s">
        <v>100</v>
      </c>
      <c r="BG52" t="s">
        <v>145</v>
      </c>
      <c r="BH52" s="9" t="s">
        <v>128</v>
      </c>
      <c r="BJ52" t="s">
        <v>129</v>
      </c>
      <c r="BL52">
        <v>5</v>
      </c>
      <c r="BM52">
        <v>44</v>
      </c>
      <c r="BN52" t="s">
        <v>131</v>
      </c>
      <c r="BP52" t="s">
        <v>156</v>
      </c>
      <c r="BQ52" s="7" t="s">
        <v>157</v>
      </c>
      <c r="BR52" t="s">
        <v>134</v>
      </c>
      <c r="BS52" t="s">
        <v>135</v>
      </c>
      <c r="BT52" t="s">
        <v>135</v>
      </c>
    </row>
    <row r="53" spans="1:85">
      <c r="A53" t="s">
        <v>764</v>
      </c>
      <c r="B53" t="str">
        <f t="shared" si="1"/>
        <v>Teresa Leonor Arredondo Plaza</v>
      </c>
      <c r="C53" s="7" t="s">
        <v>765</v>
      </c>
      <c r="D53" s="7" t="s">
        <v>766</v>
      </c>
      <c r="E53" s="7" t="s">
        <v>767</v>
      </c>
      <c r="F53" s="7" t="s">
        <v>94</v>
      </c>
      <c r="G53" s="8">
        <v>30405</v>
      </c>
      <c r="H53" t="s">
        <v>95</v>
      </c>
      <c r="I53" t="s">
        <v>162</v>
      </c>
      <c r="J53" t="s">
        <v>97</v>
      </c>
      <c r="L53" s="7" t="s">
        <v>296</v>
      </c>
      <c r="M53" t="s">
        <v>99</v>
      </c>
      <c r="N53" t="s">
        <v>100</v>
      </c>
      <c r="O53" t="s">
        <v>144</v>
      </c>
      <c r="P53" t="s">
        <v>145</v>
      </c>
      <c r="Q53" s="8">
        <v>45048</v>
      </c>
      <c r="S53" t="s">
        <v>768</v>
      </c>
      <c r="T53" t="s">
        <v>105</v>
      </c>
      <c r="U53" s="9" t="s">
        <v>298</v>
      </c>
      <c r="V53" s="9" t="s">
        <v>107</v>
      </c>
      <c r="W53" s="9" t="s">
        <v>107</v>
      </c>
      <c r="X53" t="s">
        <v>109</v>
      </c>
      <c r="Z53" t="s">
        <v>769</v>
      </c>
      <c r="AA53" t="s">
        <v>111</v>
      </c>
      <c r="AD53" t="s">
        <v>770</v>
      </c>
      <c r="AE53" t="s">
        <v>770</v>
      </c>
      <c r="AF53" t="s">
        <v>770</v>
      </c>
      <c r="AG53" t="s">
        <v>771</v>
      </c>
      <c r="AH53" t="s">
        <v>772</v>
      </c>
      <c r="AJ53" t="s">
        <v>773</v>
      </c>
      <c r="AL53" t="s">
        <v>774</v>
      </c>
      <c r="AM53" t="s">
        <v>775</v>
      </c>
      <c r="AN53" t="s">
        <v>764</v>
      </c>
      <c r="AO53" t="s">
        <v>193</v>
      </c>
      <c r="AP53">
        <v>3.9</v>
      </c>
      <c r="AQ53" t="s">
        <v>120</v>
      </c>
      <c r="AR53" t="s">
        <v>194</v>
      </c>
      <c r="AS53" t="s">
        <v>122</v>
      </c>
      <c r="AT53" t="s">
        <v>208</v>
      </c>
      <c r="AU53" t="s">
        <v>776</v>
      </c>
      <c r="AV53" t="s">
        <v>125</v>
      </c>
      <c r="AW53" t="s">
        <v>126</v>
      </c>
      <c r="AZ53" s="8"/>
      <c r="BA53" t="s">
        <v>127</v>
      </c>
      <c r="BF53" t="s">
        <v>100</v>
      </c>
      <c r="BG53" t="s">
        <v>145</v>
      </c>
      <c r="BH53" s="9" t="s">
        <v>128</v>
      </c>
      <c r="BJ53" t="s">
        <v>129</v>
      </c>
      <c r="BL53">
        <v>5</v>
      </c>
      <c r="BM53">
        <v>44</v>
      </c>
      <c r="BN53" t="s">
        <v>131</v>
      </c>
      <c r="BP53" t="s">
        <v>156</v>
      </c>
      <c r="BQ53" s="7" t="s">
        <v>157</v>
      </c>
      <c r="BR53" t="s">
        <v>134</v>
      </c>
      <c r="BS53" t="s">
        <v>135</v>
      </c>
      <c r="BT53" t="s">
        <v>135</v>
      </c>
    </row>
    <row r="54" spans="1:85">
      <c r="A54" t="s">
        <v>777</v>
      </c>
      <c r="B54" t="str">
        <f t="shared" si="1"/>
        <v>Viviana Lucia De Lourdes Rojas Trejo</v>
      </c>
      <c r="C54" s="7" t="s">
        <v>778</v>
      </c>
      <c r="D54" s="7" t="s">
        <v>449</v>
      </c>
      <c r="E54" s="7" t="s">
        <v>779</v>
      </c>
      <c r="F54" s="7" t="s">
        <v>94</v>
      </c>
      <c r="G54" s="8">
        <v>29628</v>
      </c>
      <c r="H54" t="s">
        <v>95</v>
      </c>
      <c r="I54" t="s">
        <v>162</v>
      </c>
      <c r="J54" t="s">
        <v>97</v>
      </c>
      <c r="L54" s="7" t="s">
        <v>381</v>
      </c>
      <c r="M54" t="s">
        <v>99</v>
      </c>
      <c r="N54" t="s">
        <v>100</v>
      </c>
      <c r="O54" t="s">
        <v>144</v>
      </c>
      <c r="P54" t="s">
        <v>145</v>
      </c>
      <c r="Q54" s="8">
        <v>45981</v>
      </c>
      <c r="S54" t="s">
        <v>780</v>
      </c>
      <c r="T54" t="s">
        <v>135</v>
      </c>
      <c r="U54" s="9" t="s">
        <v>216</v>
      </c>
      <c r="V54" s="9" t="s">
        <v>107</v>
      </c>
      <c r="W54" s="9" t="s">
        <v>108</v>
      </c>
      <c r="X54" t="s">
        <v>109</v>
      </c>
      <c r="Z54" t="s">
        <v>110</v>
      </c>
      <c r="AA54" t="s">
        <v>111</v>
      </c>
      <c r="AD54" t="s">
        <v>112</v>
      </c>
      <c r="AE54" t="s">
        <v>113</v>
      </c>
      <c r="AF54" t="s">
        <v>466</v>
      </c>
      <c r="AG54" t="s">
        <v>781</v>
      </c>
      <c r="AJ54" t="s">
        <v>782</v>
      </c>
      <c r="AM54" t="s">
        <v>783</v>
      </c>
      <c r="AN54" t="s">
        <v>784</v>
      </c>
      <c r="AO54" t="s">
        <v>119</v>
      </c>
      <c r="AP54">
        <v>7.0000000000000007E-2</v>
      </c>
      <c r="AQ54" t="s">
        <v>120</v>
      </c>
      <c r="AR54" t="s">
        <v>121</v>
      </c>
      <c r="AS54" t="s">
        <v>122</v>
      </c>
      <c r="AT54" t="s">
        <v>208</v>
      </c>
      <c r="AU54" t="s">
        <v>785</v>
      </c>
      <c r="AV54" t="s">
        <v>125</v>
      </c>
      <c r="AW54" t="s">
        <v>126</v>
      </c>
      <c r="AZ54" s="8">
        <v>46173</v>
      </c>
      <c r="BA54" t="s">
        <v>222</v>
      </c>
      <c r="BF54" t="s">
        <v>100</v>
      </c>
      <c r="BG54" t="s">
        <v>145</v>
      </c>
      <c r="BH54" s="9" t="s">
        <v>128</v>
      </c>
      <c r="BJ54" t="s">
        <v>129</v>
      </c>
      <c r="BK54" t="s">
        <v>130</v>
      </c>
      <c r="BL54">
        <v>5</v>
      </c>
      <c r="BM54">
        <v>44</v>
      </c>
      <c r="BN54" t="s">
        <v>131</v>
      </c>
      <c r="BP54" t="s">
        <v>156</v>
      </c>
      <c r="BQ54" s="7" t="s">
        <v>157</v>
      </c>
      <c r="BR54" t="s">
        <v>134</v>
      </c>
      <c r="BS54" t="s">
        <v>135</v>
      </c>
      <c r="BT54" t="s">
        <v>135</v>
      </c>
      <c r="CG54" t="s">
        <v>137</v>
      </c>
    </row>
  </sheetData>
  <autoFilter ref="A1:CL53" xr:uid="{00000000-0001-0000-0000-000000000000}">
    <sortState xmlns:xlrd2="http://schemas.microsoft.com/office/spreadsheetml/2017/richdata2" ref="A2:CL50">
      <sortCondition ref="C1:C4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28E6-A8E3-4027-ADC4-EBF2A43AA067}">
  <dimension ref="A3:B34"/>
  <sheetViews>
    <sheetView workbookViewId="0">
      <selection activeCell="A24" sqref="A24"/>
    </sheetView>
  </sheetViews>
  <sheetFormatPr defaultColWidth="11.42578125" defaultRowHeight="15"/>
  <cols>
    <col min="1" max="1" width="45.140625" bestFit="1" customWidth="1"/>
    <col min="2" max="2" width="27.28515625" bestFit="1" customWidth="1"/>
  </cols>
  <sheetData>
    <row r="3" spans="1:2">
      <c r="A3" s="2" t="s">
        <v>786</v>
      </c>
      <c r="B3" t="s">
        <v>787</v>
      </c>
    </row>
    <row r="4" spans="1:2">
      <c r="A4" s="3" t="s">
        <v>145</v>
      </c>
      <c r="B4">
        <v>26</v>
      </c>
    </row>
    <row r="5" spans="1:2">
      <c r="A5" s="4" t="s">
        <v>296</v>
      </c>
      <c r="B5">
        <v>14</v>
      </c>
    </row>
    <row r="6" spans="1:2">
      <c r="A6" s="4" t="s">
        <v>520</v>
      </c>
      <c r="B6">
        <v>1</v>
      </c>
    </row>
    <row r="7" spans="1:2">
      <c r="A7" s="4" t="s">
        <v>381</v>
      </c>
      <c r="B7">
        <v>2</v>
      </c>
    </row>
    <row r="8" spans="1:2">
      <c r="A8" s="4" t="s">
        <v>281</v>
      </c>
      <c r="B8">
        <v>3</v>
      </c>
    </row>
    <row r="9" spans="1:2">
      <c r="A9" s="4" t="s">
        <v>143</v>
      </c>
      <c r="B9">
        <v>1</v>
      </c>
    </row>
    <row r="10" spans="1:2">
      <c r="A10" s="4" t="s">
        <v>353</v>
      </c>
      <c r="B10">
        <v>1</v>
      </c>
    </row>
    <row r="11" spans="1:2">
      <c r="A11" s="4" t="s">
        <v>393</v>
      </c>
      <c r="B11">
        <v>1</v>
      </c>
    </row>
    <row r="12" spans="1:2">
      <c r="A12" s="4" t="s">
        <v>587</v>
      </c>
      <c r="B12">
        <v>2</v>
      </c>
    </row>
    <row r="13" spans="1:2">
      <c r="A13" s="4" t="s">
        <v>214</v>
      </c>
      <c r="B13">
        <v>1</v>
      </c>
    </row>
    <row r="14" spans="1:2">
      <c r="A14" s="3" t="s">
        <v>165</v>
      </c>
      <c r="B14">
        <v>7</v>
      </c>
    </row>
    <row r="15" spans="1:2">
      <c r="A15" s="4" t="s">
        <v>183</v>
      </c>
      <c r="B15">
        <v>1</v>
      </c>
    </row>
    <row r="16" spans="1:2">
      <c r="A16" s="4" t="s">
        <v>313</v>
      </c>
      <c r="B16">
        <v>1</v>
      </c>
    </row>
    <row r="17" spans="1:2">
      <c r="A17" s="4" t="s">
        <v>163</v>
      </c>
      <c r="B17">
        <v>1</v>
      </c>
    </row>
    <row r="18" spans="1:2">
      <c r="A18" s="4" t="s">
        <v>507</v>
      </c>
      <c r="B18">
        <v>1</v>
      </c>
    </row>
    <row r="19" spans="1:2">
      <c r="A19" s="4" t="s">
        <v>407</v>
      </c>
      <c r="B19">
        <v>1</v>
      </c>
    </row>
    <row r="20" spans="1:2">
      <c r="A20" s="4" t="s">
        <v>542</v>
      </c>
      <c r="B20">
        <v>1</v>
      </c>
    </row>
    <row r="21" spans="1:2">
      <c r="A21" s="4" t="s">
        <v>451</v>
      </c>
      <c r="B21">
        <v>1</v>
      </c>
    </row>
    <row r="22" spans="1:2">
      <c r="A22" s="3" t="s">
        <v>102</v>
      </c>
      <c r="B22">
        <v>16</v>
      </c>
    </row>
    <row r="23" spans="1:2">
      <c r="A23" s="4" t="s">
        <v>529</v>
      </c>
      <c r="B23">
        <v>1</v>
      </c>
    </row>
    <row r="24" spans="1:2">
      <c r="A24" s="4" t="s">
        <v>618</v>
      </c>
      <c r="B24">
        <v>1</v>
      </c>
    </row>
    <row r="25" spans="1:2">
      <c r="A25" s="4" t="s">
        <v>98</v>
      </c>
      <c r="B25">
        <v>10</v>
      </c>
    </row>
    <row r="26" spans="1:2">
      <c r="A26" s="4" t="s">
        <v>421</v>
      </c>
      <c r="B26">
        <v>1</v>
      </c>
    </row>
    <row r="27" spans="1:2">
      <c r="A27" s="4" t="s">
        <v>747</v>
      </c>
      <c r="B27">
        <v>1</v>
      </c>
    </row>
    <row r="28" spans="1:2">
      <c r="A28" s="4" t="s">
        <v>339</v>
      </c>
      <c r="B28">
        <v>1</v>
      </c>
    </row>
    <row r="29" spans="1:2">
      <c r="A29" s="4" t="s">
        <v>707</v>
      </c>
      <c r="B29">
        <v>1</v>
      </c>
    </row>
    <row r="30" spans="1:2">
      <c r="A30" s="3" t="s">
        <v>788</v>
      </c>
      <c r="B30">
        <v>3</v>
      </c>
    </row>
    <row r="31" spans="1:2">
      <c r="A31" s="4" t="s">
        <v>267</v>
      </c>
      <c r="B31">
        <v>2</v>
      </c>
    </row>
    <row r="32" spans="1:2">
      <c r="A32" s="4" t="s">
        <v>239</v>
      </c>
      <c r="B32">
        <v>1</v>
      </c>
    </row>
    <row r="33" spans="1:2">
      <c r="A33" s="4" t="s">
        <v>788</v>
      </c>
    </row>
    <row r="34" spans="1:2">
      <c r="A34" s="3" t="s">
        <v>789</v>
      </c>
      <c r="B34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A1228-3D37-4C97-85CE-76B014A9DA61}">
  <dimension ref="A1:D3"/>
  <sheetViews>
    <sheetView workbookViewId="0">
      <selection sqref="A1:D3"/>
    </sheetView>
  </sheetViews>
  <sheetFormatPr defaultColWidth="11.42578125" defaultRowHeight="15"/>
  <cols>
    <col min="2" max="2" width="22.28515625" bestFit="1" customWidth="1"/>
    <col min="3" max="3" width="12" bestFit="1" customWidth="1"/>
  </cols>
  <sheetData>
    <row r="1" spans="1:4">
      <c r="A1" s="1" t="s">
        <v>0</v>
      </c>
      <c r="B1" s="1" t="s">
        <v>1</v>
      </c>
      <c r="C1" s="1" t="s">
        <v>35</v>
      </c>
      <c r="D1" s="1" t="s">
        <v>38</v>
      </c>
    </row>
    <row r="2" spans="1:4">
      <c r="A2" t="s">
        <v>262</v>
      </c>
      <c r="B2" t="s">
        <v>790</v>
      </c>
      <c r="C2">
        <v>56996586868</v>
      </c>
      <c r="D2" t="s">
        <v>273</v>
      </c>
    </row>
    <row r="3" spans="1:4">
      <c r="A3" t="s">
        <v>485</v>
      </c>
      <c r="B3" t="s">
        <v>791</v>
      </c>
      <c r="C3">
        <v>56971603577</v>
      </c>
      <c r="D3" t="s">
        <v>491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87D9-FF7A-4D53-AA34-1AC08A6FD681}">
  <dimension ref="A1:D6"/>
  <sheetViews>
    <sheetView workbookViewId="0">
      <selection activeCell="J10" sqref="J10"/>
    </sheetView>
  </sheetViews>
  <sheetFormatPr defaultColWidth="11.42578125" defaultRowHeight="15"/>
  <sheetData>
    <row r="1" spans="1:4">
      <c r="A1" s="1" t="s">
        <v>0</v>
      </c>
      <c r="B1" s="1" t="s">
        <v>1</v>
      </c>
      <c r="C1" s="1" t="s">
        <v>35</v>
      </c>
      <c r="D1" s="1" t="s">
        <v>38</v>
      </c>
    </row>
    <row r="2" spans="1:4">
      <c r="A2" t="s">
        <v>210</v>
      </c>
      <c r="B2" t="s">
        <v>792</v>
      </c>
      <c r="C2" t="s">
        <v>218</v>
      </c>
      <c r="D2" t="s">
        <v>219</v>
      </c>
    </row>
    <row r="3" spans="1:4">
      <c r="A3" t="s">
        <v>262</v>
      </c>
      <c r="B3" t="s">
        <v>790</v>
      </c>
      <c r="C3" t="s">
        <v>272</v>
      </c>
      <c r="D3" t="s">
        <v>273</v>
      </c>
    </row>
    <row r="4" spans="1:4">
      <c r="A4" t="s">
        <v>323</v>
      </c>
      <c r="B4" t="s">
        <v>793</v>
      </c>
      <c r="C4" t="s">
        <v>332</v>
      </c>
      <c r="D4" t="s">
        <v>333</v>
      </c>
    </row>
    <row r="5" spans="1:4">
      <c r="A5" t="s">
        <v>485</v>
      </c>
      <c r="B5" t="s">
        <v>791</v>
      </c>
      <c r="C5" t="s">
        <v>490</v>
      </c>
      <c r="D5" t="s">
        <v>491</v>
      </c>
    </row>
    <row r="6" spans="1:4">
      <c r="A6" t="s">
        <v>553</v>
      </c>
      <c r="B6" t="s">
        <v>794</v>
      </c>
      <c r="C6" t="s">
        <v>560</v>
      </c>
      <c r="D6" t="s">
        <v>561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d27c73-9d53-4a78-a3d2-f96f28046961" xsi:nil="true"/>
    <lcf76f155ced4ddcb4097134ff3c332f xmlns="a5308bb8-0d76-47a3-a725-c53a35d9912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2A912033B0B4B9A9A5A553E1F571D" ma:contentTypeVersion="13" ma:contentTypeDescription="Create a new document." ma:contentTypeScope="" ma:versionID="9ef4ba9194ced558d3af97e5f47175fc">
  <xsd:schema xmlns:xsd="http://www.w3.org/2001/XMLSchema" xmlns:xs="http://www.w3.org/2001/XMLSchema" xmlns:p="http://schemas.microsoft.com/office/2006/metadata/properties" xmlns:ns2="a5308bb8-0d76-47a3-a725-c53a35d99126" xmlns:ns3="d1d27c73-9d53-4a78-a3d2-f96f28046961" targetNamespace="http://schemas.microsoft.com/office/2006/metadata/properties" ma:root="true" ma:fieldsID="4653e521323da9b44f3297460c7960a6" ns2:_="" ns3:_="">
    <xsd:import namespace="a5308bb8-0d76-47a3-a725-c53a35d99126"/>
    <xsd:import namespace="d1d27c73-9d53-4a78-a3d2-f96f280469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308bb8-0d76-47a3-a725-c53a35d991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79b5037b-5dc4-4b62-a784-434f3641e17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d27c73-9d53-4a78-a3d2-f96f2804696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1ab31fe-ee92-457f-bd03-8b98cd3b6a74}" ma:internalName="TaxCatchAll" ma:showField="CatchAllData" ma:web="d1d27c73-9d53-4a78-a3d2-f96f280469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E54394B-AD08-42DF-A976-6FCAB8B38FB4}"/>
</file>

<file path=customXml/itemProps2.xml><?xml version="1.0" encoding="utf-8"?>
<ds:datastoreItem xmlns:ds="http://schemas.openxmlformats.org/officeDocument/2006/customXml" ds:itemID="{FBD65914-6011-40FB-8AC8-01297FAA110B}"/>
</file>

<file path=customXml/itemProps3.xml><?xml version="1.0" encoding="utf-8"?>
<ds:datastoreItem xmlns:ds="http://schemas.openxmlformats.org/officeDocument/2006/customXml" ds:itemID="{EC92E279-27FC-4E79-ABC5-DBB078950F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2025-09-16T00:31:48Z</dcterms:created>
  <dcterms:modified xsi:type="dcterms:W3CDTF">2026-04-15T12:38:16Z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0x0101002102A912033B0B4B9A9A5A553E1F571D</vt:lpwstr>
  </property>
  <property fmtid="{D5CDD505-2E9C-101B-9397-08002B2CF9AE}" pid="3" name="MediaServiceImageTags">
    <vt:lpwstr/>
  </property>
</Properties>
</file>